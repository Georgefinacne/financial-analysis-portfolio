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rge\OneDrive\Desktop\"/>
    </mc:Choice>
  </mc:AlternateContent>
  <xr:revisionPtr revIDLastSave="0" documentId="8_{AA58E4A9-DA67-4E07-9497-10CDEC55AEA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  <sheet name="DCF Valu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5" l="1"/>
  <c r="B25" i="5"/>
  <c r="B21" i="5"/>
  <c r="B22" i="5" s="1"/>
  <c r="B18" i="5"/>
  <c r="E24" i="4"/>
  <c r="D24" i="4"/>
  <c r="C24" i="4"/>
  <c r="B24" i="4"/>
  <c r="D19" i="4"/>
  <c r="C19" i="4"/>
  <c r="C16" i="4"/>
  <c r="B16" i="4"/>
  <c r="D14" i="4"/>
  <c r="D16" i="4" s="1"/>
  <c r="C14" i="4"/>
  <c r="B14" i="4"/>
  <c r="D9" i="4"/>
  <c r="C9" i="4"/>
  <c r="D8" i="4"/>
  <c r="C8" i="4"/>
  <c r="D7" i="4"/>
  <c r="C7" i="4"/>
  <c r="D6" i="4"/>
  <c r="C6" i="4"/>
  <c r="B6" i="4"/>
  <c r="C36" i="3"/>
  <c r="D34" i="3"/>
  <c r="C34" i="3"/>
  <c r="B34" i="3"/>
  <c r="E32" i="3"/>
  <c r="F32" i="3" s="1"/>
  <c r="C29" i="3"/>
  <c r="D27" i="3"/>
  <c r="C27" i="3"/>
  <c r="B27" i="3"/>
  <c r="E26" i="3"/>
  <c r="F26" i="3" s="1"/>
  <c r="G26" i="3" s="1"/>
  <c r="F25" i="3"/>
  <c r="G25" i="3" s="1"/>
  <c r="E25" i="3"/>
  <c r="E19" i="4" s="1"/>
  <c r="D23" i="3"/>
  <c r="D29" i="3" s="1"/>
  <c r="D36" i="3" s="1"/>
  <c r="C23" i="3"/>
  <c r="B23" i="3"/>
  <c r="B29" i="3" s="1"/>
  <c r="B36" i="3" s="1"/>
  <c r="F22" i="3"/>
  <c r="G22" i="3" s="1"/>
  <c r="E22" i="3"/>
  <c r="B16" i="3"/>
  <c r="G15" i="3"/>
  <c r="F15" i="3"/>
  <c r="E15" i="3"/>
  <c r="D14" i="3"/>
  <c r="D16" i="3" s="1"/>
  <c r="D18" i="3" s="1"/>
  <c r="D37" i="3" s="1"/>
  <c r="C14" i="3"/>
  <c r="C16" i="3" s="1"/>
  <c r="C18" i="3" s="1"/>
  <c r="C37" i="3" s="1"/>
  <c r="B14" i="3"/>
  <c r="D10" i="3"/>
  <c r="C10" i="3"/>
  <c r="B10" i="3"/>
  <c r="B18" i="3" s="1"/>
  <c r="B37" i="3" s="1"/>
  <c r="F9" i="3"/>
  <c r="G9" i="3" s="1"/>
  <c r="E9" i="3"/>
  <c r="G18" i="2"/>
  <c r="F18" i="2"/>
  <c r="E18" i="2"/>
  <c r="F14" i="2"/>
  <c r="C9" i="5" s="1"/>
  <c r="E14" i="2"/>
  <c r="B9" i="5" s="1"/>
  <c r="D11" i="2"/>
  <c r="D15" i="2" s="1"/>
  <c r="E10" i="2"/>
  <c r="E7" i="2"/>
  <c r="E8" i="2" s="1"/>
  <c r="D7" i="2"/>
  <c r="D8" i="2" s="1"/>
  <c r="C7" i="2"/>
  <c r="C11" i="2" s="1"/>
  <c r="B7" i="2"/>
  <c r="B11" i="2" s="1"/>
  <c r="E6" i="2"/>
  <c r="E21" i="3" s="1"/>
  <c r="G5" i="2"/>
  <c r="G6" i="2" s="1"/>
  <c r="F5" i="2"/>
  <c r="F6" i="2" s="1"/>
  <c r="E5" i="2"/>
  <c r="E14" i="4" s="1"/>
  <c r="G21" i="1"/>
  <c r="F21" i="1"/>
  <c r="E21" i="1"/>
  <c r="D21" i="1"/>
  <c r="C21" i="1"/>
  <c r="G18" i="1"/>
  <c r="F18" i="1"/>
  <c r="E18" i="1"/>
  <c r="D18" i="1"/>
  <c r="C18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D19" i="2" l="1"/>
  <c r="D21" i="2" s="1"/>
  <c r="D16" i="2"/>
  <c r="G32" i="3"/>
  <c r="C15" i="2"/>
  <c r="C12" i="2"/>
  <c r="B27" i="5"/>
  <c r="B10" i="5"/>
  <c r="E16" i="4"/>
  <c r="B15" i="2"/>
  <c r="B12" i="2"/>
  <c r="F21" i="3"/>
  <c r="F8" i="3"/>
  <c r="G19" i="4"/>
  <c r="G27" i="3"/>
  <c r="G21" i="3"/>
  <c r="G8" i="3"/>
  <c r="G8" i="4" s="1"/>
  <c r="E9" i="4"/>
  <c r="E23" i="3"/>
  <c r="E11" i="2"/>
  <c r="E12" i="3"/>
  <c r="E27" i="3"/>
  <c r="E7" i="3"/>
  <c r="E7" i="4" s="1"/>
  <c r="B11" i="5" s="1"/>
  <c r="F27" i="3"/>
  <c r="F19" i="4"/>
  <c r="G7" i="2"/>
  <c r="B8" i="2"/>
  <c r="F7" i="3"/>
  <c r="C8" i="2"/>
  <c r="D12" i="2"/>
  <c r="G7" i="3"/>
  <c r="G7" i="4" s="1"/>
  <c r="E13" i="3"/>
  <c r="F13" i="3" s="1"/>
  <c r="F7" i="2"/>
  <c r="E8" i="3"/>
  <c r="E8" i="4" s="1"/>
  <c r="F14" i="4"/>
  <c r="G14" i="4"/>
  <c r="E6" i="4"/>
  <c r="G14" i="2"/>
  <c r="F6" i="4"/>
  <c r="B19" i="2" l="1"/>
  <c r="B21" i="2" s="1"/>
  <c r="B16" i="2"/>
  <c r="E12" i="2"/>
  <c r="E15" i="2"/>
  <c r="E29" i="3"/>
  <c r="G16" i="4"/>
  <c r="D10" i="5"/>
  <c r="F8" i="2"/>
  <c r="F11" i="2"/>
  <c r="F10" i="2"/>
  <c r="E14" i="3"/>
  <c r="E16" i="3" s="1"/>
  <c r="F12" i="3"/>
  <c r="F16" i="4"/>
  <c r="C10" i="5"/>
  <c r="C19" i="2"/>
  <c r="C21" i="2" s="1"/>
  <c r="C16" i="2"/>
  <c r="F9" i="4"/>
  <c r="F23" i="3"/>
  <c r="F29" i="3" s="1"/>
  <c r="D9" i="5"/>
  <c r="G6" i="4"/>
  <c r="G13" i="3"/>
  <c r="F7" i="4"/>
  <c r="D31" i="5"/>
  <c r="C31" i="5"/>
  <c r="B31" i="5"/>
  <c r="G9" i="4"/>
  <c r="D11" i="5" s="1"/>
  <c r="G23" i="3"/>
  <c r="G29" i="3" s="1"/>
  <c r="F8" i="4"/>
  <c r="G10" i="2"/>
  <c r="G8" i="2"/>
  <c r="G11" i="2"/>
  <c r="D22" i="2"/>
  <c r="D20" i="4"/>
  <c r="D21" i="4" s="1"/>
  <c r="D5" i="4"/>
  <c r="D11" i="4" s="1"/>
  <c r="F14" i="3" l="1"/>
  <c r="F16" i="3" s="1"/>
  <c r="G12" i="3"/>
  <c r="G14" i="3" s="1"/>
  <c r="G16" i="3" s="1"/>
  <c r="C11" i="5"/>
  <c r="C22" i="2"/>
  <c r="C20" i="4"/>
  <c r="C21" i="4" s="1"/>
  <c r="C5" i="4"/>
  <c r="C11" i="4" s="1"/>
  <c r="F12" i="2"/>
  <c r="F15" i="2"/>
  <c r="D23" i="4"/>
  <c r="D25" i="4" s="1"/>
  <c r="E19" i="2"/>
  <c r="E16" i="2"/>
  <c r="B6" i="5"/>
  <c r="G12" i="2"/>
  <c r="G15" i="2"/>
  <c r="B22" i="2"/>
  <c r="B20" i="4"/>
  <c r="B21" i="4" s="1"/>
  <c r="B5" i="4"/>
  <c r="B11" i="4" s="1"/>
  <c r="B23" i="4" s="1"/>
  <c r="B25" i="4" s="1"/>
  <c r="B7" i="5" l="1"/>
  <c r="B8" i="5" s="1"/>
  <c r="B12" i="5" s="1"/>
  <c r="B32" i="5" s="1"/>
  <c r="E20" i="2"/>
  <c r="E21" i="2" s="1"/>
  <c r="F16" i="2"/>
  <c r="C6" i="5"/>
  <c r="F19" i="2"/>
  <c r="C23" i="4"/>
  <c r="C25" i="4" s="1"/>
  <c r="G16" i="2"/>
  <c r="D6" i="5"/>
  <c r="G19" i="2"/>
  <c r="E33" i="3" l="1"/>
  <c r="E22" i="2"/>
  <c r="E20" i="4"/>
  <c r="E21" i="4" s="1"/>
  <c r="E5" i="4"/>
  <c r="E11" i="4" s="1"/>
  <c r="E23" i="4" s="1"/>
  <c r="E25" i="4" s="1"/>
  <c r="E6" i="3" s="1"/>
  <c r="D7" i="5"/>
  <c r="D8" i="5" s="1"/>
  <c r="D12" i="5" s="1"/>
  <c r="G21" i="2"/>
  <c r="G20" i="2"/>
  <c r="F20" i="2"/>
  <c r="F21" i="2" s="1"/>
  <c r="C7" i="5"/>
  <c r="C8" i="5" s="1"/>
  <c r="C12" i="5" s="1"/>
  <c r="C32" i="5" s="1"/>
  <c r="B40" i="5" l="1"/>
  <c r="B42" i="5" s="1"/>
  <c r="B44" i="5" s="1"/>
  <c r="B46" i="5" s="1"/>
  <c r="B48" i="5" s="1"/>
  <c r="F22" i="2"/>
  <c r="F20" i="4"/>
  <c r="F21" i="4" s="1"/>
  <c r="F5" i="4"/>
  <c r="F11" i="4" s="1"/>
  <c r="F23" i="4" s="1"/>
  <c r="F59" i="5"/>
  <c r="E56" i="5"/>
  <c r="D53" i="5"/>
  <c r="E59" i="5"/>
  <c r="D56" i="5"/>
  <c r="C53" i="5"/>
  <c r="D59" i="5"/>
  <c r="C56" i="5"/>
  <c r="B53" i="5"/>
  <c r="C59" i="5"/>
  <c r="B56" i="5"/>
  <c r="B59" i="5"/>
  <c r="F55" i="5"/>
  <c r="D58" i="5"/>
  <c r="C55" i="5"/>
  <c r="C58" i="5"/>
  <c r="B55" i="5"/>
  <c r="B58" i="5"/>
  <c r="F54" i="5"/>
  <c r="F57" i="5"/>
  <c r="E54" i="5"/>
  <c r="E57" i="5"/>
  <c r="D54" i="5"/>
  <c r="D57" i="5"/>
  <c r="C54" i="5"/>
  <c r="B35" i="5"/>
  <c r="B36" i="5" s="1"/>
  <c r="B37" i="5" s="1"/>
  <c r="B41" i="5" s="1"/>
  <c r="D32" i="5"/>
  <c r="F58" i="5" s="1"/>
  <c r="B57" i="5"/>
  <c r="F53" i="5"/>
  <c r="F56" i="5"/>
  <c r="E53" i="5"/>
  <c r="G22" i="2"/>
  <c r="G20" i="4"/>
  <c r="G21" i="4" s="1"/>
  <c r="G5" i="4"/>
  <c r="G11" i="4" s="1"/>
  <c r="G23" i="4" s="1"/>
  <c r="E10" i="3"/>
  <c r="E18" i="3" s="1"/>
  <c r="F24" i="4"/>
  <c r="F25" i="4" s="1"/>
  <c r="F6" i="3" s="1"/>
  <c r="F33" i="3"/>
  <c r="E34" i="3"/>
  <c r="E36" i="3" s="1"/>
  <c r="G33" i="3" l="1"/>
  <c r="G34" i="3" s="1"/>
  <c r="G36" i="3" s="1"/>
  <c r="F34" i="3"/>
  <c r="F36" i="3" s="1"/>
  <c r="E37" i="3"/>
  <c r="G24" i="4"/>
  <c r="G25" i="4" s="1"/>
  <c r="G6" i="3" s="1"/>
  <c r="G10" i="3" s="1"/>
  <c r="G18" i="3" s="1"/>
  <c r="G37" i="3" s="1"/>
  <c r="F10" i="3"/>
  <c r="F18" i="3" s="1"/>
  <c r="F37" i="3" s="1"/>
  <c r="E58" i="5"/>
  <c r="B54" i="5"/>
  <c r="E55" i="5"/>
  <c r="D55" i="5"/>
  <c r="C57" i="5"/>
</calcChain>
</file>

<file path=xl/sharedStrings.xml><?xml version="1.0" encoding="utf-8"?>
<sst xmlns="http://schemas.openxmlformats.org/spreadsheetml/2006/main" count="167" uniqueCount="132">
  <si>
    <t>Next plc — 3-Statement Financial Model | Assumptions</t>
  </si>
  <si>
    <t xml:space="preserve">  Colour guide:  Blue = hardcoded input    Black = formula    Green = cross-sheet link</t>
  </si>
  <si>
    <t>INCOME STATEMENT ASSUMPTIONS</t>
  </si>
  <si>
    <t>Revenue Growth Rate</t>
  </si>
  <si>
    <t>—</t>
  </si>
  <si>
    <t>Gross Margin (%)</t>
  </si>
  <si>
    <t>EBITDA Margin (%)</t>
  </si>
  <si>
    <t>D&amp;A as % of Revenue</t>
  </si>
  <si>
    <t>Tax Rate (%)</t>
  </si>
  <si>
    <t>BALANCE SHEET ASSUMPTIONS  (single value applies to all years)</t>
  </si>
  <si>
    <t>Days Sales Outstanding (DSO)</t>
  </si>
  <si>
    <t>Days Inventory Outstanding (DIO)</t>
  </si>
  <si>
    <t>Days Payable Outstanding (DPO)</t>
  </si>
  <si>
    <t>Capex as % of Revenue</t>
  </si>
  <si>
    <t>DEBT &amp; FINANCING</t>
  </si>
  <si>
    <t>Opening Debt Balance FY2022A (£m)</t>
  </si>
  <si>
    <t>Interest Rate on Debt (%)</t>
  </si>
  <si>
    <t>DIVIDENDS</t>
  </si>
  <si>
    <t>Dividend Payout Ratio (%)</t>
  </si>
  <si>
    <t xml:space="preserve">  ⚠  Enter yellow cells only. All other cells are formula-driven. Source data from Next plc Annual Reports.</t>
  </si>
  <si>
    <t>Next plc — Income Statement (£m)</t>
  </si>
  <si>
    <t xml:space="preserve">  All figures in £m  |  A = Actual  |  E = Estimated (formula-driven from Assumptions)</t>
  </si>
  <si>
    <t>FY2022A</t>
  </si>
  <si>
    <t>FY2023A</t>
  </si>
  <si>
    <t>FY2024A</t>
  </si>
  <si>
    <t>FY2025E</t>
  </si>
  <si>
    <t>FY2026E</t>
  </si>
  <si>
    <t>FY2027E</t>
  </si>
  <si>
    <t>Revenue</t>
  </si>
  <si>
    <t>Cost of Goods Sold</t>
  </si>
  <si>
    <t>Gross Profit</t>
  </si>
  <si>
    <t xml:space="preserve">  Gross Margin %</t>
  </si>
  <si>
    <t>Operating Expenses (SG&amp;A)</t>
  </si>
  <si>
    <t>EBITDA</t>
  </si>
  <si>
    <t xml:space="preserve">  EBITDA Margin %</t>
  </si>
  <si>
    <t>Depreciation &amp; Amortisation</t>
  </si>
  <si>
    <t>EBIT (Operating Profit)</t>
  </si>
  <si>
    <t xml:space="preserve">  EBIT Margin %</t>
  </si>
  <si>
    <t>Net Interest Expense</t>
  </si>
  <si>
    <t>Profit Before Tax</t>
  </si>
  <si>
    <t>Income Tax Expense</t>
  </si>
  <si>
    <t>NET INCOME</t>
  </si>
  <si>
    <t xml:space="preserve">  Net Margin %</t>
  </si>
  <si>
    <t>Next plc — Balance Sheet (£m)</t>
  </si>
  <si>
    <t xml:space="preserve">  All figures in £m  |  Yellow = input cell (enter from annual report)  |  Black = formula</t>
  </si>
  <si>
    <t>ASSETS</t>
  </si>
  <si>
    <t>Cash &amp; Equivalents</t>
  </si>
  <si>
    <t>Trade Receivables</t>
  </si>
  <si>
    <t>Inventories</t>
  </si>
  <si>
    <t>Other Current Assets</t>
  </si>
  <si>
    <t>Total Current Assets</t>
  </si>
  <si>
    <t>PP&amp;E (Gross)</t>
  </si>
  <si>
    <t>Accumulated Depreciation (negative)</t>
  </si>
  <si>
    <t>PP&amp;E (Net)</t>
  </si>
  <si>
    <t>Other Non-Current Assets</t>
  </si>
  <si>
    <t>Total Non-Current Assets</t>
  </si>
  <si>
    <t>TOTAL ASSETS</t>
  </si>
  <si>
    <t>LIABILITIES</t>
  </si>
  <si>
    <t>Trade Payables</t>
  </si>
  <si>
    <t>Other Current Liabilities</t>
  </si>
  <si>
    <t>Total Current Liabilities</t>
  </si>
  <si>
    <t>Long-Term Debt</t>
  </si>
  <si>
    <t>Other Non-Current Liabilities</t>
  </si>
  <si>
    <t>Total Non-Current Liabilities</t>
  </si>
  <si>
    <t>TOTAL LIABILITIES</t>
  </si>
  <si>
    <t>EQUITY</t>
  </si>
  <si>
    <t>Share Capital &amp; Reserves</t>
  </si>
  <si>
    <t>Retained Earnings</t>
  </si>
  <si>
    <t>Total Equity</t>
  </si>
  <si>
    <t>TOTAL LIABILITIES &amp; EQUITY</t>
  </si>
  <si>
    <t xml:space="preserve">  Balance Check (must = 0)</t>
  </si>
  <si>
    <t>Next plc — Cash Flow Statement (£m)</t>
  </si>
  <si>
    <t xml:space="preserve">  All figures in £m  |  Fully formula-driven for all years</t>
  </si>
  <si>
    <t>OPERATING ACTIVITIES</t>
  </si>
  <si>
    <t>Net Income</t>
  </si>
  <si>
    <t>Add: Depreciation &amp; Amortisation</t>
  </si>
  <si>
    <t>(Increase) / Decrease in Trade Receivables</t>
  </si>
  <si>
    <t>0</t>
  </si>
  <si>
    <t>(Increase) / Decrease in Inventories</t>
  </si>
  <si>
    <t>Increase / (Decrease) in Trade Payables</t>
  </si>
  <si>
    <t>Other Working Capital / Adjustments</t>
  </si>
  <si>
    <t>Cash from Operating Activities</t>
  </si>
  <si>
    <t>INVESTING ACTIVITIES</t>
  </si>
  <si>
    <t>Capital Expenditure (Capex)</t>
  </si>
  <si>
    <t>Other Investing</t>
  </si>
  <si>
    <t>Cash from Investing Activities</t>
  </si>
  <si>
    <t>FINANCING ACTIVITIES</t>
  </si>
  <si>
    <t>Net Debt Drawdown / (Repayment)</t>
  </si>
  <si>
    <t>Dividends Paid</t>
  </si>
  <si>
    <t>Cash from Financing Activities</t>
  </si>
  <si>
    <t>NET CHANGE IN CASH</t>
  </si>
  <si>
    <t>Opening Cash Balance</t>
  </si>
  <si>
    <t>Closing Cash Balance</t>
  </si>
  <si>
    <t>Next plc — DCF Valuation (£m)</t>
  </si>
  <si>
    <t xml:space="preserve">  Enterprise Value → Equity Value → Implied Share Price</t>
  </si>
  <si>
    <t>STEP 1 — FREE CASH FLOW TO FIRM (FCFF)</t>
  </si>
  <si>
    <t>Tax on EBIT  [EBIT × tax rate]</t>
  </si>
  <si>
    <t>NOPAT  (Net Operating Profit After Tax)</t>
  </si>
  <si>
    <t>Less: Capital Expenditure</t>
  </si>
  <si>
    <t>Less: Change in Working Capital</t>
  </si>
  <si>
    <t>FREE CASH FLOW TO FIRM (FCFF)</t>
  </si>
  <si>
    <t>STEP 2 — WACC  (Weighted Average Cost of Capital)</t>
  </si>
  <si>
    <t>Risk-Free Rate (10yr UK Gilt)</t>
  </si>
  <si>
    <t>Equity Risk Premium (ERP)</t>
  </si>
  <si>
    <t>Beta (Next plc — market risk)</t>
  </si>
  <si>
    <t>Cost of Equity  [Rf + β × ERP]</t>
  </si>
  <si>
    <t>Pre-Tax Cost of Debt</t>
  </si>
  <si>
    <t>Tax Rate</t>
  </si>
  <si>
    <t>After-Tax Cost of Debt  [Kd×(1-t)]</t>
  </si>
  <si>
    <t>Debt Weight  [D/(D+E)]</t>
  </si>
  <si>
    <t>Equity Weight  [E/(D+E)]</t>
  </si>
  <si>
    <t>WACC  [Ke×We + Kd×Wd]</t>
  </si>
  <si>
    <t>STEP 3 — DISCOUNT CASH FLOWS + TERMINAL VALUE</t>
  </si>
  <si>
    <t>Discount Period (years)</t>
  </si>
  <si>
    <t>Discount Factor  [1÷(1+WACC)^period]</t>
  </si>
  <si>
    <t>Present Value of FCF</t>
  </si>
  <si>
    <t>Terminal Growth Rate (long-run)</t>
  </si>
  <si>
    <t>Terminal Year FCF (FY2027E)</t>
  </si>
  <si>
    <t>Terminal Value  [FCF×(1+g)÷(WACC−g)]</t>
  </si>
  <si>
    <t>PV of Terminal Value</t>
  </si>
  <si>
    <t>STEP 4 — ENTERPRISE VALUE → EQUITY VALUE</t>
  </si>
  <si>
    <t>Sum of PV of FCFs</t>
  </si>
  <si>
    <t>ENTERPRISE VALUE (EV)</t>
  </si>
  <si>
    <t>Less: Net Debt  [Debt − Cash]</t>
  </si>
  <si>
    <t>EQUITY VALUE</t>
  </si>
  <si>
    <t>Shares Outstanding (m)</t>
  </si>
  <si>
    <t>IMPLIED SHARE PRICE (£)</t>
  </si>
  <si>
    <t>Current Market Price (£)</t>
  </si>
  <si>
    <t>Upside / (Downside)</t>
  </si>
  <si>
    <t>SENSITIVITY — Implied Share Price (£)  |  WACC vs Terminal Growth Rate</t>
  </si>
  <si>
    <t>WACC \ TGR</t>
  </si>
  <si>
    <t xml:space="preserve">  ⚠  Enter yellow cells: Shares Outstanding (row 45) and Current Market Price (row 47) to complete the 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</si>
</sst>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(0.0%\);&quot;-&quot;"/>
    <numFmt numFmtId="165" formatCode="#,##0;\(#,##0\);&quot;-&quot;"/>
    <numFmt numFmtId="166" formatCode="#,##0.0;\(#,##0.0\);&quot;-&quot;"/>
    <numFmt numFmtId="167" formatCode="0.0"/>
    <numFmt numFmtId="168" formatCode="0.0000"/>
    <numFmt numFmtId="169" formatCode="\£#,##0.0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AAAAAA"/>
      <name val="Arial"/>
      <family val="2"/>
    </font>
    <font>
      <sz val="10"/>
      <color rgb="FF0000FF"/>
      <name val="Arial"/>
      <family val="2"/>
    </font>
    <font>
      <i/>
      <sz val="9"/>
      <color rgb="FF7F3F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6600"/>
      <name val="Arial"/>
      <family val="2"/>
    </font>
    <font>
      <b/>
      <sz val="11"/>
      <color rgb="FF7F6000"/>
      <name val="Arial"/>
      <family val="2"/>
    </font>
    <font>
      <sz val="10"/>
      <color rgb="FF7F6000"/>
      <name val="Arial"/>
      <family val="2"/>
    </font>
    <font>
      <b/>
      <sz val="11"/>
      <color rgb="FFFFFFFF"/>
      <name val="Arial"/>
      <family val="2"/>
    </font>
    <font>
      <b/>
      <sz val="10"/>
      <color rgb="FF7F6000"/>
      <name val="Arial"/>
      <family val="2"/>
    </font>
    <font>
      <i/>
      <sz val="9"/>
      <color rgb="FF7F6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BDD7EE"/>
      </patternFill>
    </fill>
    <fill>
      <patternFill patternType="solid">
        <fgColor rgb="FFF9F9F9"/>
      </patternFill>
    </fill>
    <fill>
      <patternFill patternType="solid">
        <fgColor rgb="FFF0F4F8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left" vertical="center" indent="2"/>
    </xf>
    <xf numFmtId="0" fontId="5" fillId="4" borderId="0" xfId="0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165" fontId="8" fillId="7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64" fontId="9" fillId="4" borderId="0" xfId="0" applyNumberFormat="1" applyFont="1" applyFill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 indent="2"/>
    </xf>
    <xf numFmtId="0" fontId="8" fillId="6" borderId="0" xfId="0" applyFont="1" applyFill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 indent="2"/>
    </xf>
    <xf numFmtId="166" fontId="10" fillId="8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indent="2"/>
    </xf>
    <xf numFmtId="166" fontId="4" fillId="8" borderId="0" xfId="0" applyNumberFormat="1" applyFont="1" applyFill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166" fontId="8" fillId="7" borderId="2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indent="2"/>
    </xf>
    <xf numFmtId="2" fontId="6" fillId="5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 indent="2"/>
    </xf>
    <xf numFmtId="164" fontId="8" fillId="9" borderId="0" xfId="0" applyNumberFormat="1" applyFont="1" applyFill="1" applyAlignment="1">
      <alignment horizontal="center" vertical="center"/>
    </xf>
    <xf numFmtId="164" fontId="10" fillId="9" borderId="0" xfId="0" applyNumberFormat="1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 indent="2"/>
    </xf>
    <xf numFmtId="167" fontId="4" fillId="8" borderId="0" xfId="0" applyNumberFormat="1" applyFont="1" applyFill="1" applyAlignment="1">
      <alignment horizontal="center" vertical="center"/>
    </xf>
    <xf numFmtId="168" fontId="4" fillId="8" borderId="0" xfId="0" applyNumberFormat="1" applyFont="1" applyFill="1" applyAlignment="1">
      <alignment horizontal="center" vertical="center"/>
    </xf>
    <xf numFmtId="166" fontId="8" fillId="8" borderId="0" xfId="0" applyNumberFormat="1" applyFont="1" applyFill="1" applyAlignment="1">
      <alignment horizontal="center" vertical="center"/>
    </xf>
    <xf numFmtId="166" fontId="12" fillId="9" borderId="0" xfId="0" applyNumberFormat="1" applyFont="1" applyFill="1" applyAlignment="1">
      <alignment horizontal="center" vertical="center"/>
    </xf>
    <xf numFmtId="166" fontId="13" fillId="2" borderId="2" xfId="0" applyNumberFormat="1" applyFont="1" applyFill="1" applyBorder="1" applyAlignment="1">
      <alignment horizontal="center" vertical="center"/>
    </xf>
    <xf numFmtId="166" fontId="6" fillId="5" borderId="0" xfId="0" applyNumberFormat="1" applyFont="1" applyFill="1" applyAlignment="1">
      <alignment horizontal="center" vertical="center"/>
    </xf>
    <xf numFmtId="169" fontId="13" fillId="2" borderId="2" xfId="0" applyNumberFormat="1" applyFont="1" applyFill="1" applyBorder="1" applyAlignment="1">
      <alignment horizontal="center" vertical="center"/>
    </xf>
    <xf numFmtId="169" fontId="6" fillId="5" borderId="0" xfId="0" applyNumberFormat="1" applyFont="1" applyFill="1" applyAlignment="1">
      <alignment horizontal="center" vertical="center"/>
    </xf>
    <xf numFmtId="164" fontId="12" fillId="9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9" fontId="4" fillId="8" borderId="0" xfId="0" applyNumberFormat="1" applyFont="1" applyFill="1" applyAlignment="1">
      <alignment horizontal="center" vertical="center"/>
    </xf>
    <xf numFmtId="169" fontId="14" fillId="1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0" fillId="6" borderId="0" xfId="0" applyFill="1"/>
    <xf numFmtId="0" fontId="8" fillId="7" borderId="0" xfId="0" applyFont="1" applyFill="1" applyAlignment="1">
      <alignment horizontal="left" vertical="center" indent="2"/>
    </xf>
    <xf numFmtId="0" fontId="15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G23"/>
  <sheetViews>
    <sheetView workbookViewId="0">
      <pane xSplit="1" ySplit="3" topLeftCell="B4" activePane="bottomRight" state="frozen"/>
      <selection pane="topRight"/>
      <selection pane="bottomLeft"/>
      <selection pane="bottomRight" sqref="A1:G1"/>
    </sheetView>
  </sheetViews>
  <sheetFormatPr defaultRowHeight="14.4" x14ac:dyDescent="0.3"/>
  <cols>
    <col min="1" max="1" width="34" customWidth="1"/>
    <col min="2" max="7" width="14" customWidth="1"/>
  </cols>
  <sheetData>
    <row r="1" spans="1:7" ht="25.95" customHeight="1" x14ac:dyDescent="0.3">
      <c r="A1" s="52" t="s">
        <v>0</v>
      </c>
      <c r="B1" s="53"/>
      <c r="C1" s="53"/>
      <c r="D1" s="53"/>
      <c r="E1" s="53"/>
      <c r="F1" s="53"/>
      <c r="G1" s="53"/>
    </row>
    <row r="2" spans="1:7" x14ac:dyDescent="0.3">
      <c r="A2" s="55" t="s">
        <v>1</v>
      </c>
      <c r="B2" s="53"/>
      <c r="C2" s="53"/>
      <c r="D2" s="53"/>
      <c r="E2" s="53"/>
      <c r="F2" s="53"/>
      <c r="G2" s="53"/>
    </row>
    <row r="3" spans="1:7" ht="18" customHeight="1" x14ac:dyDescent="0.3">
      <c r="A3" s="54" t="s">
        <v>2</v>
      </c>
      <c r="B3" s="53"/>
      <c r="C3" s="53"/>
      <c r="D3" s="53"/>
      <c r="E3" s="53"/>
      <c r="F3" s="53"/>
      <c r="G3" s="53"/>
    </row>
    <row r="4" spans="1:7" x14ac:dyDescent="0.3">
      <c r="A4" s="2" t="s">
        <v>3</v>
      </c>
      <c r="B4" s="3" t="s">
        <v>4</v>
      </c>
      <c r="C4" s="3" t="s">
        <v>4</v>
      </c>
      <c r="D4" s="3" t="s">
        <v>4</v>
      </c>
      <c r="E4" s="4">
        <v>0.06</v>
      </c>
      <c r="F4" s="4">
        <v>7.0000000000000007E-2</v>
      </c>
      <c r="G4" s="4">
        <v>7.0000000000000007E-2</v>
      </c>
    </row>
    <row r="5" spans="1:7" x14ac:dyDescent="0.3">
      <c r="A5" s="2" t="s">
        <v>5</v>
      </c>
      <c r="B5" s="4">
        <v>0.45</v>
      </c>
      <c r="C5" s="4">
        <v>0.45</v>
      </c>
      <c r="D5" s="4">
        <v>0.45</v>
      </c>
      <c r="E5" s="4">
        <v>0.45</v>
      </c>
      <c r="F5" s="4">
        <v>0.45</v>
      </c>
      <c r="G5" s="4">
        <v>0.45</v>
      </c>
    </row>
    <row r="6" spans="1:7" x14ac:dyDescent="0.3">
      <c r="A6" s="2" t="s">
        <v>6</v>
      </c>
      <c r="B6" s="4">
        <v>0.25</v>
      </c>
      <c r="C6" s="4">
        <v>0.25</v>
      </c>
      <c r="D6" s="4">
        <v>0.25</v>
      </c>
      <c r="E6" s="4">
        <v>0.25</v>
      </c>
      <c r="F6" s="4">
        <v>0.25</v>
      </c>
      <c r="G6" s="4">
        <v>0.25</v>
      </c>
    </row>
    <row r="7" spans="1:7" x14ac:dyDescent="0.3">
      <c r="A7" s="2" t="s">
        <v>7</v>
      </c>
      <c r="B7" s="4">
        <v>4.4999999999999998E-2</v>
      </c>
      <c r="C7" s="4">
        <v>4.4999999999999998E-2</v>
      </c>
      <c r="D7" s="4">
        <v>4.4999999999999998E-2</v>
      </c>
      <c r="E7" s="4">
        <v>4.4999999999999998E-2</v>
      </c>
      <c r="F7" s="4">
        <v>4.4999999999999998E-2</v>
      </c>
      <c r="G7" s="4">
        <v>4.4999999999999998E-2</v>
      </c>
    </row>
    <row r="8" spans="1:7" x14ac:dyDescent="0.3">
      <c r="A8" s="2" t="s">
        <v>8</v>
      </c>
      <c r="B8" s="4">
        <v>0.25</v>
      </c>
      <c r="C8" s="4">
        <v>0.25</v>
      </c>
      <c r="D8" s="4">
        <v>0.25</v>
      </c>
      <c r="E8" s="4">
        <v>0.25</v>
      </c>
      <c r="F8" s="4">
        <v>0.25</v>
      </c>
      <c r="G8" s="4">
        <v>0.25</v>
      </c>
    </row>
    <row r="10" spans="1:7" ht="18" customHeight="1" x14ac:dyDescent="0.3">
      <c r="A10" s="54" t="s">
        <v>9</v>
      </c>
      <c r="B10" s="53"/>
      <c r="C10" s="53"/>
      <c r="D10" s="53"/>
      <c r="E10" s="53"/>
      <c r="F10" s="53"/>
      <c r="G10" s="53"/>
    </row>
    <row r="11" spans="1:7" x14ac:dyDescent="0.3">
      <c r="A11" s="2" t="s">
        <v>10</v>
      </c>
      <c r="B11" s="5">
        <v>83</v>
      </c>
      <c r="C11" s="6">
        <f>B11</f>
        <v>83</v>
      </c>
      <c r="D11" s="6">
        <f>B11</f>
        <v>83</v>
      </c>
      <c r="E11" s="6">
        <f>B11</f>
        <v>83</v>
      </c>
      <c r="F11" s="6">
        <f>B11</f>
        <v>83</v>
      </c>
      <c r="G11" s="6">
        <f>B11</f>
        <v>83</v>
      </c>
    </row>
    <row r="12" spans="1:7" x14ac:dyDescent="0.3">
      <c r="A12" s="2" t="s">
        <v>11</v>
      </c>
      <c r="B12" s="5">
        <v>64</v>
      </c>
      <c r="C12" s="6">
        <f>B12</f>
        <v>64</v>
      </c>
      <c r="D12" s="6">
        <f>B12</f>
        <v>64</v>
      </c>
      <c r="E12" s="6">
        <f>B12</f>
        <v>64</v>
      </c>
      <c r="F12" s="6">
        <f>B12</f>
        <v>64</v>
      </c>
      <c r="G12" s="6">
        <f>B12</f>
        <v>64</v>
      </c>
    </row>
    <row r="13" spans="1:7" x14ac:dyDescent="0.3">
      <c r="A13" s="2" t="s">
        <v>12</v>
      </c>
      <c r="B13" s="5">
        <v>53</v>
      </c>
      <c r="C13" s="6">
        <f>B13</f>
        <v>53</v>
      </c>
      <c r="D13" s="6">
        <f>B13</f>
        <v>53</v>
      </c>
      <c r="E13" s="6">
        <f>B13</f>
        <v>53</v>
      </c>
      <c r="F13" s="6">
        <f>B13</f>
        <v>53</v>
      </c>
      <c r="G13" s="6">
        <f>B13</f>
        <v>53</v>
      </c>
    </row>
    <row r="14" spans="1:7" x14ac:dyDescent="0.3">
      <c r="A14" s="2" t="s">
        <v>13</v>
      </c>
      <c r="B14" s="4">
        <v>0.05</v>
      </c>
      <c r="C14" s="7">
        <f>B14</f>
        <v>0.05</v>
      </c>
      <c r="D14" s="7">
        <f>B14</f>
        <v>0.05</v>
      </c>
      <c r="E14" s="7">
        <f>B14</f>
        <v>0.05</v>
      </c>
      <c r="F14" s="7">
        <f>B14</f>
        <v>0.05</v>
      </c>
      <c r="G14" s="7">
        <f>B14</f>
        <v>0.05</v>
      </c>
    </row>
    <row r="16" spans="1:7" ht="18" customHeight="1" x14ac:dyDescent="0.3">
      <c r="A16" s="54" t="s">
        <v>14</v>
      </c>
      <c r="B16" s="53"/>
      <c r="C16" s="53"/>
      <c r="D16" s="53"/>
      <c r="E16" s="53"/>
      <c r="F16" s="53"/>
      <c r="G16" s="53"/>
    </row>
    <row r="17" spans="1:7" x14ac:dyDescent="0.3">
      <c r="A17" s="2" t="s">
        <v>15</v>
      </c>
      <c r="B17" s="8">
        <v>1200</v>
      </c>
      <c r="C17" s="3"/>
      <c r="D17" s="3"/>
      <c r="E17" s="3"/>
      <c r="F17" s="3"/>
      <c r="G17" s="3"/>
    </row>
    <row r="18" spans="1:7" x14ac:dyDescent="0.3">
      <c r="A18" s="2" t="s">
        <v>16</v>
      </c>
      <c r="B18" s="4">
        <v>6.5000000000000002E-2</v>
      </c>
      <c r="C18" s="7">
        <f>B18</f>
        <v>6.5000000000000002E-2</v>
      </c>
      <c r="D18" s="7">
        <f>B18</f>
        <v>6.5000000000000002E-2</v>
      </c>
      <c r="E18" s="7">
        <f>B18</f>
        <v>6.5000000000000002E-2</v>
      </c>
      <c r="F18" s="7">
        <f>B18</f>
        <v>6.5000000000000002E-2</v>
      </c>
      <c r="G18" s="7">
        <f>B18</f>
        <v>6.5000000000000002E-2</v>
      </c>
    </row>
    <row r="20" spans="1:7" ht="18" customHeight="1" x14ac:dyDescent="0.3">
      <c r="A20" s="54" t="s">
        <v>17</v>
      </c>
      <c r="B20" s="53"/>
      <c r="C20" s="53"/>
      <c r="D20" s="53"/>
      <c r="E20" s="53"/>
      <c r="F20" s="53"/>
      <c r="G20" s="53"/>
    </row>
    <row r="21" spans="1:7" x14ac:dyDescent="0.3">
      <c r="A21" s="2" t="s">
        <v>18</v>
      </c>
      <c r="B21" s="4">
        <v>0.5</v>
      </c>
      <c r="C21" s="7">
        <f>B21</f>
        <v>0.5</v>
      </c>
      <c r="D21" s="7">
        <f>B21</f>
        <v>0.5</v>
      </c>
      <c r="E21" s="7">
        <f>B21</f>
        <v>0.5</v>
      </c>
      <c r="F21" s="7">
        <f>B21</f>
        <v>0.5</v>
      </c>
      <c r="G21" s="7">
        <f>B21</f>
        <v>0.5</v>
      </c>
    </row>
    <row r="23" spans="1:7" x14ac:dyDescent="0.3">
      <c r="A23" s="56" t="s">
        <v>19</v>
      </c>
      <c r="B23" s="53"/>
      <c r="C23" s="53"/>
      <c r="D23" s="53"/>
      <c r="E23" s="53"/>
      <c r="F23" s="53"/>
      <c r="G23" s="53"/>
    </row>
  </sheetData>
  <mergeCells count="7">
    <mergeCell ref="A23:G23"/>
    <mergeCell ref="A1:G1"/>
    <mergeCell ref="A3:G3"/>
    <mergeCell ref="A20:G20"/>
    <mergeCell ref="A2:G2"/>
    <mergeCell ref="A16:G16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04040"/>
  </sheetPr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 sqref="A1:G1"/>
    </sheetView>
  </sheetViews>
  <sheetFormatPr defaultRowHeight="14.4" x14ac:dyDescent="0.3"/>
  <cols>
    <col min="1" max="1" width="36" customWidth="1"/>
    <col min="2" max="7" width="14" customWidth="1"/>
  </cols>
  <sheetData>
    <row r="1" spans="1:7" ht="25.95" customHeight="1" x14ac:dyDescent="0.3">
      <c r="A1" s="52" t="s">
        <v>20</v>
      </c>
      <c r="B1" s="53"/>
      <c r="C1" s="53"/>
      <c r="D1" s="53"/>
      <c r="E1" s="53"/>
      <c r="F1" s="53"/>
      <c r="G1" s="53"/>
    </row>
    <row r="2" spans="1:7" x14ac:dyDescent="0.3">
      <c r="A2" s="55" t="s">
        <v>21</v>
      </c>
      <c r="B2" s="53"/>
      <c r="C2" s="53"/>
      <c r="D2" s="53"/>
      <c r="E2" s="53"/>
      <c r="F2" s="53"/>
      <c r="G2" s="53"/>
    </row>
    <row r="3" spans="1:7" x14ac:dyDescent="0.3">
      <c r="A3" s="9"/>
      <c r="B3" s="10" t="s">
        <v>22</v>
      </c>
      <c r="C3" s="10" t="s">
        <v>23</v>
      </c>
      <c r="D3" s="10" t="s">
        <v>24</v>
      </c>
      <c r="E3" s="11" t="s">
        <v>25</v>
      </c>
      <c r="F3" s="11" t="s">
        <v>26</v>
      </c>
      <c r="G3" s="11" t="s">
        <v>27</v>
      </c>
    </row>
    <row r="4" spans="1:7" x14ac:dyDescent="0.3">
      <c r="A4" s="57"/>
      <c r="B4" s="53"/>
      <c r="C4" s="53"/>
      <c r="D4" s="53"/>
      <c r="E4" s="53"/>
      <c r="F4" s="53"/>
      <c r="G4" s="53"/>
    </row>
    <row r="5" spans="1:7" x14ac:dyDescent="0.3">
      <c r="A5" s="12" t="s">
        <v>28</v>
      </c>
      <c r="B5" s="8">
        <v>4800</v>
      </c>
      <c r="C5" s="8">
        <v>5200</v>
      </c>
      <c r="D5" s="8">
        <v>5700</v>
      </c>
      <c r="E5" s="13">
        <f>D5*(1+Assumptions!E4)</f>
        <v>6042</v>
      </c>
      <c r="F5" s="13">
        <f>E5*(1+Assumptions!F4)</f>
        <v>6464.9400000000005</v>
      </c>
      <c r="G5" s="13">
        <f>F5*(1+Assumptions!G4)</f>
        <v>6917.4858000000013</v>
      </c>
    </row>
    <row r="6" spans="1:7" x14ac:dyDescent="0.3">
      <c r="A6" s="2" t="s">
        <v>29</v>
      </c>
      <c r="B6" s="8">
        <v>2640</v>
      </c>
      <c r="C6" s="8">
        <v>2860</v>
      </c>
      <c r="D6" s="8">
        <v>3135</v>
      </c>
      <c r="E6" s="13">
        <f>E5*(1-Assumptions!E5)</f>
        <v>3323.1000000000004</v>
      </c>
      <c r="F6" s="13">
        <f>F5*(1-Assumptions!F5)</f>
        <v>3555.7170000000006</v>
      </c>
      <c r="G6" s="13">
        <f>G5*(1-Assumptions!G5)</f>
        <v>3804.6171900000008</v>
      </c>
    </row>
    <row r="7" spans="1:7" x14ac:dyDescent="0.3">
      <c r="A7" s="14" t="s">
        <v>30</v>
      </c>
      <c r="B7" s="15">
        <f t="shared" ref="B7:G7" si="0">B5-B6</f>
        <v>2160</v>
      </c>
      <c r="C7" s="15">
        <f t="shared" si="0"/>
        <v>2340</v>
      </c>
      <c r="D7" s="15">
        <f t="shared" si="0"/>
        <v>2565</v>
      </c>
      <c r="E7" s="15">
        <f t="shared" si="0"/>
        <v>2718.8999999999996</v>
      </c>
      <c r="F7" s="15">
        <f t="shared" si="0"/>
        <v>2909.223</v>
      </c>
      <c r="G7" s="15">
        <f t="shared" si="0"/>
        <v>3112.8686100000004</v>
      </c>
    </row>
    <row r="8" spans="1:7" x14ac:dyDescent="0.3">
      <c r="A8" s="16" t="s">
        <v>31</v>
      </c>
      <c r="B8" s="17">
        <f t="shared" ref="B8:G8" si="1">IFERROR(B7/B5,"-")</f>
        <v>0.45</v>
      </c>
      <c r="C8" s="17">
        <f t="shared" si="1"/>
        <v>0.45</v>
      </c>
      <c r="D8" s="17">
        <f t="shared" si="1"/>
        <v>0.45</v>
      </c>
      <c r="E8" s="17">
        <f t="shared" si="1"/>
        <v>0.44999999999999996</v>
      </c>
      <c r="F8" s="17">
        <f t="shared" si="1"/>
        <v>0.44999999999999996</v>
      </c>
      <c r="G8" s="17">
        <f t="shared" si="1"/>
        <v>0.44999999999999996</v>
      </c>
    </row>
    <row r="9" spans="1:7" x14ac:dyDescent="0.3">
      <c r="A9" s="53"/>
      <c r="B9" s="53"/>
      <c r="C9" s="53"/>
      <c r="D9" s="53"/>
      <c r="E9" s="53"/>
      <c r="F9" s="53"/>
      <c r="G9" s="53"/>
    </row>
    <row r="10" spans="1:7" x14ac:dyDescent="0.3">
      <c r="A10" s="2" t="s">
        <v>32</v>
      </c>
      <c r="B10" s="8">
        <v>1250</v>
      </c>
      <c r="C10" s="8">
        <v>1350</v>
      </c>
      <c r="D10" s="8">
        <v>1450</v>
      </c>
      <c r="E10" s="13">
        <f>IFERROR(E7-E5*Assumptions!E6,0)</f>
        <v>1208.3999999999996</v>
      </c>
      <c r="F10" s="13">
        <f>IFERROR(F7-F5*Assumptions!F6,0)</f>
        <v>1292.9879999999998</v>
      </c>
      <c r="G10" s="13">
        <f>IFERROR(G7-G5*Assumptions!G6,0)</f>
        <v>1383.4971600000001</v>
      </c>
    </row>
    <row r="11" spans="1:7" x14ac:dyDescent="0.3">
      <c r="A11" s="14" t="s">
        <v>33</v>
      </c>
      <c r="B11" s="15">
        <f t="shared" ref="B11:G11" si="2">B7-B10</f>
        <v>910</v>
      </c>
      <c r="C11" s="15">
        <f t="shared" si="2"/>
        <v>990</v>
      </c>
      <c r="D11" s="15">
        <f t="shared" si="2"/>
        <v>1115</v>
      </c>
      <c r="E11" s="15">
        <f t="shared" si="2"/>
        <v>1510.5</v>
      </c>
      <c r="F11" s="15">
        <f t="shared" si="2"/>
        <v>1616.2350000000001</v>
      </c>
      <c r="G11" s="15">
        <f t="shared" si="2"/>
        <v>1729.3714500000003</v>
      </c>
    </row>
    <row r="12" spans="1:7" x14ac:dyDescent="0.3">
      <c r="A12" s="16" t="s">
        <v>34</v>
      </c>
      <c r="B12" s="17">
        <f t="shared" ref="B12:G12" si="3">IFERROR(B11/B5,"-")</f>
        <v>0.18958333333333333</v>
      </c>
      <c r="C12" s="17">
        <f t="shared" si="3"/>
        <v>0.19038461538461537</v>
      </c>
      <c r="D12" s="17">
        <f t="shared" si="3"/>
        <v>0.1956140350877193</v>
      </c>
      <c r="E12" s="17">
        <f t="shared" si="3"/>
        <v>0.25</v>
      </c>
      <c r="F12" s="17">
        <f t="shared" si="3"/>
        <v>0.25</v>
      </c>
      <c r="G12" s="17">
        <f t="shared" si="3"/>
        <v>0.25</v>
      </c>
    </row>
    <row r="13" spans="1:7" x14ac:dyDescent="0.3">
      <c r="A13" s="53"/>
      <c r="B13" s="53"/>
      <c r="C13" s="53"/>
      <c r="D13" s="53"/>
      <c r="E13" s="53"/>
      <c r="F13" s="53"/>
      <c r="G13" s="53"/>
    </row>
    <row r="14" spans="1:7" x14ac:dyDescent="0.3">
      <c r="A14" s="2" t="s">
        <v>35</v>
      </c>
      <c r="B14" s="8">
        <v>220</v>
      </c>
      <c r="C14" s="8">
        <v>240</v>
      </c>
      <c r="D14" s="8">
        <v>260</v>
      </c>
      <c r="E14" s="13">
        <f>E5*Assumptions!E7</f>
        <v>271.89</v>
      </c>
      <c r="F14" s="13">
        <f>F5*Assumptions!F7</f>
        <v>290.92230000000001</v>
      </c>
      <c r="G14" s="13">
        <f>G5*Assumptions!G7</f>
        <v>311.28686100000004</v>
      </c>
    </row>
    <row r="15" spans="1:7" x14ac:dyDescent="0.3">
      <c r="A15" s="14" t="s">
        <v>36</v>
      </c>
      <c r="B15" s="15">
        <f t="shared" ref="B15:G15" si="4">B11-B14</f>
        <v>690</v>
      </c>
      <c r="C15" s="15">
        <f t="shared" si="4"/>
        <v>750</v>
      </c>
      <c r="D15" s="15">
        <f t="shared" si="4"/>
        <v>855</v>
      </c>
      <c r="E15" s="15">
        <f t="shared" si="4"/>
        <v>1238.6100000000001</v>
      </c>
      <c r="F15" s="15">
        <f t="shared" si="4"/>
        <v>1325.3127000000002</v>
      </c>
      <c r="G15" s="15">
        <f t="shared" si="4"/>
        <v>1418.0845890000003</v>
      </c>
    </row>
    <row r="16" spans="1:7" x14ac:dyDescent="0.3">
      <c r="A16" s="16" t="s">
        <v>37</v>
      </c>
      <c r="B16" s="17">
        <f t="shared" ref="B16:G16" si="5">IFERROR(B15/B5,"-")</f>
        <v>0.14374999999999999</v>
      </c>
      <c r="C16" s="17">
        <f t="shared" si="5"/>
        <v>0.14423076923076922</v>
      </c>
      <c r="D16" s="17">
        <f t="shared" si="5"/>
        <v>0.15</v>
      </c>
      <c r="E16" s="17">
        <f t="shared" si="5"/>
        <v>0.20500000000000002</v>
      </c>
      <c r="F16" s="17">
        <f t="shared" si="5"/>
        <v>0.20500000000000002</v>
      </c>
      <c r="G16" s="17">
        <f t="shared" si="5"/>
        <v>0.20500000000000002</v>
      </c>
    </row>
    <row r="17" spans="1:7" x14ac:dyDescent="0.3">
      <c r="A17" s="53"/>
      <c r="B17" s="53"/>
      <c r="C17" s="53"/>
      <c r="D17" s="53"/>
      <c r="E17" s="53"/>
      <c r="F17" s="53"/>
      <c r="G17" s="53"/>
    </row>
    <row r="18" spans="1:7" x14ac:dyDescent="0.3">
      <c r="A18" s="2" t="s">
        <v>38</v>
      </c>
      <c r="B18" s="8">
        <v>75</v>
      </c>
      <c r="C18" s="8">
        <v>80</v>
      </c>
      <c r="D18" s="8">
        <v>85</v>
      </c>
      <c r="E18" s="18">
        <f>'Balance Sheet'!D25*Assumptions!$B$18</f>
        <v>71.5</v>
      </c>
      <c r="F18" s="18">
        <f>'Balance Sheet'!E25*Assumptions!$B$18</f>
        <v>71.5</v>
      </c>
      <c r="G18" s="18">
        <f>'Balance Sheet'!F25*Assumptions!$B$18</f>
        <v>71.5</v>
      </c>
    </row>
    <row r="19" spans="1:7" x14ac:dyDescent="0.3">
      <c r="A19" s="14" t="s">
        <v>39</v>
      </c>
      <c r="B19" s="15">
        <f t="shared" ref="B19:G19" si="6">B15-B18</f>
        <v>615</v>
      </c>
      <c r="C19" s="15">
        <f t="shared" si="6"/>
        <v>670</v>
      </c>
      <c r="D19" s="15">
        <f t="shared" si="6"/>
        <v>770</v>
      </c>
      <c r="E19" s="15">
        <f t="shared" si="6"/>
        <v>1167.1100000000001</v>
      </c>
      <c r="F19" s="15">
        <f t="shared" si="6"/>
        <v>1253.8127000000002</v>
      </c>
      <c r="G19" s="15">
        <f t="shared" si="6"/>
        <v>1346.5845890000003</v>
      </c>
    </row>
    <row r="20" spans="1:7" x14ac:dyDescent="0.3">
      <c r="A20" s="2" t="s">
        <v>40</v>
      </c>
      <c r="B20" s="8">
        <v>135</v>
      </c>
      <c r="C20" s="8">
        <v>150</v>
      </c>
      <c r="D20" s="8">
        <v>170</v>
      </c>
      <c r="E20" s="13">
        <f>MAX(0,E19)*Assumptions!E8</f>
        <v>291.77750000000003</v>
      </c>
      <c r="F20" s="13">
        <f>MAX(0,F19)*Assumptions!F8</f>
        <v>313.45317500000004</v>
      </c>
      <c r="G20" s="13">
        <f>MAX(0,G19)*Assumptions!G8</f>
        <v>336.64614725000007</v>
      </c>
    </row>
    <row r="21" spans="1:7" x14ac:dyDescent="0.3">
      <c r="A21" s="14" t="s">
        <v>41</v>
      </c>
      <c r="B21" s="19">
        <f t="shared" ref="B21:G21" si="7">B19-B20</f>
        <v>480</v>
      </c>
      <c r="C21" s="19">
        <f t="shared" si="7"/>
        <v>520</v>
      </c>
      <c r="D21" s="19">
        <f t="shared" si="7"/>
        <v>600</v>
      </c>
      <c r="E21" s="20">
        <f t="shared" si="7"/>
        <v>875.3325000000001</v>
      </c>
      <c r="F21" s="20">
        <f t="shared" si="7"/>
        <v>940.35952500000008</v>
      </c>
      <c r="G21" s="20">
        <f t="shared" si="7"/>
        <v>1009.9384417500003</v>
      </c>
    </row>
    <row r="22" spans="1:7" x14ac:dyDescent="0.3">
      <c r="A22" s="16" t="s">
        <v>42</v>
      </c>
      <c r="B22" s="17">
        <f t="shared" ref="B22:G22" si="8">IFERROR(B21/B5,"-")</f>
        <v>0.1</v>
      </c>
      <c r="C22" s="17">
        <f t="shared" si="8"/>
        <v>0.1</v>
      </c>
      <c r="D22" s="17">
        <f t="shared" si="8"/>
        <v>0.10526315789473684</v>
      </c>
      <c r="E22" s="17">
        <f t="shared" si="8"/>
        <v>0.14487462760675274</v>
      </c>
      <c r="F22" s="17">
        <f t="shared" si="8"/>
        <v>0.14545525944556331</v>
      </c>
      <c r="G22" s="17">
        <f t="shared" si="8"/>
        <v>0.14599790602389096</v>
      </c>
    </row>
  </sheetData>
  <mergeCells count="6">
    <mergeCell ref="A13:G13"/>
    <mergeCell ref="A1:G1"/>
    <mergeCell ref="A17:G17"/>
    <mergeCell ref="A9:G9"/>
    <mergeCell ref="A4:G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04040"/>
  </sheetPr>
  <dimension ref="A1:G37"/>
  <sheetViews>
    <sheetView workbookViewId="0">
      <pane xSplit="1" ySplit="3" topLeftCell="B4" activePane="bottomRight" state="frozen"/>
      <selection pane="topRight"/>
      <selection pane="bottomLeft"/>
      <selection pane="bottomRight" sqref="A1:G1"/>
    </sheetView>
  </sheetViews>
  <sheetFormatPr defaultRowHeight="14.4" x14ac:dyDescent="0.3"/>
  <cols>
    <col min="1" max="1" width="36" customWidth="1"/>
    <col min="2" max="7" width="14" customWidth="1"/>
  </cols>
  <sheetData>
    <row r="1" spans="1:7" ht="25.95" customHeight="1" x14ac:dyDescent="0.3">
      <c r="A1" s="52" t="s">
        <v>43</v>
      </c>
      <c r="B1" s="53"/>
      <c r="C1" s="53"/>
      <c r="D1" s="53"/>
      <c r="E1" s="53"/>
      <c r="F1" s="53"/>
      <c r="G1" s="53"/>
    </row>
    <row r="2" spans="1:7" x14ac:dyDescent="0.3">
      <c r="A2" s="55" t="s">
        <v>44</v>
      </c>
      <c r="B2" s="53"/>
      <c r="C2" s="53"/>
      <c r="D2" s="53"/>
      <c r="E2" s="53"/>
      <c r="F2" s="53"/>
      <c r="G2" s="53"/>
    </row>
    <row r="3" spans="1:7" x14ac:dyDescent="0.3">
      <c r="A3" s="9"/>
      <c r="B3" s="10" t="s">
        <v>22</v>
      </c>
      <c r="C3" s="10" t="s">
        <v>23</v>
      </c>
      <c r="D3" s="10" t="s">
        <v>24</v>
      </c>
      <c r="E3" s="11" t="s">
        <v>25</v>
      </c>
      <c r="F3" s="11" t="s">
        <v>26</v>
      </c>
      <c r="G3" s="11" t="s">
        <v>27</v>
      </c>
    </row>
    <row r="4" spans="1:7" x14ac:dyDescent="0.3">
      <c r="A4" s="57"/>
      <c r="B4" s="53"/>
      <c r="C4" s="53"/>
      <c r="D4" s="53"/>
      <c r="E4" s="53"/>
      <c r="F4" s="53"/>
      <c r="G4" s="53"/>
    </row>
    <row r="5" spans="1:7" x14ac:dyDescent="0.3">
      <c r="A5" s="54" t="s">
        <v>45</v>
      </c>
      <c r="B5" s="53"/>
      <c r="C5" s="53"/>
      <c r="D5" s="53"/>
      <c r="E5" s="53"/>
      <c r="F5" s="53"/>
      <c r="G5" s="53"/>
    </row>
    <row r="6" spans="1:7" x14ac:dyDescent="0.3">
      <c r="A6" s="2" t="s">
        <v>46</v>
      </c>
      <c r="B6" s="8">
        <v>350</v>
      </c>
      <c r="C6" s="8">
        <v>400</v>
      </c>
      <c r="D6" s="8">
        <v>450</v>
      </c>
      <c r="E6" s="18">
        <f>'Cash Flow'!E25</f>
        <v>793.37378424657527</v>
      </c>
      <c r="F6" s="18">
        <f>'Cash Flow'!F25</f>
        <v>1128.0430741438354</v>
      </c>
      <c r="G6" s="18">
        <f>'Cash Flow'!G25</f>
        <v>1488.0160893339037</v>
      </c>
    </row>
    <row r="7" spans="1:7" x14ac:dyDescent="0.3">
      <c r="A7" s="2" t="s">
        <v>47</v>
      </c>
      <c r="B7" s="8">
        <v>1100</v>
      </c>
      <c r="C7" s="8">
        <v>1200</v>
      </c>
      <c r="D7" s="8">
        <v>1300</v>
      </c>
      <c r="E7" s="18">
        <f>'Income Statement'!E5*Assumptions!$B$11/365</f>
        <v>1373.9342465753425</v>
      </c>
      <c r="F7" s="18">
        <f>'Income Statement'!F5*Assumptions!$B$11/365</f>
        <v>1470.1096438356165</v>
      </c>
      <c r="G7" s="18">
        <f>'Income Statement'!G5*Assumptions!$B$11/365</f>
        <v>1573.01731890411</v>
      </c>
    </row>
    <row r="8" spans="1:7" x14ac:dyDescent="0.3">
      <c r="A8" s="2" t="s">
        <v>48</v>
      </c>
      <c r="B8" s="8">
        <v>550</v>
      </c>
      <c r="C8" s="8">
        <v>580</v>
      </c>
      <c r="D8" s="8">
        <v>620</v>
      </c>
      <c r="E8" s="18">
        <f>'Income Statement'!E6*Assumptions!$B$12/365</f>
        <v>582.68054794520549</v>
      </c>
      <c r="F8" s="18">
        <f>'Income Statement'!F6*Assumptions!$B$12/365</f>
        <v>623.46818630137</v>
      </c>
      <c r="G8" s="18">
        <f>'Income Statement'!G6*Assumptions!$B$12/365</f>
        <v>667.11095934246589</v>
      </c>
    </row>
    <row r="9" spans="1:7" x14ac:dyDescent="0.3">
      <c r="A9" s="2" t="s">
        <v>49</v>
      </c>
      <c r="B9" s="8">
        <v>80</v>
      </c>
      <c r="C9" s="8">
        <v>85</v>
      </c>
      <c r="D9" s="8">
        <v>90</v>
      </c>
      <c r="E9" s="13">
        <f>D9</f>
        <v>90</v>
      </c>
      <c r="F9" s="13">
        <f>E9</f>
        <v>90</v>
      </c>
      <c r="G9" s="13">
        <f>F9</f>
        <v>90</v>
      </c>
    </row>
    <row r="10" spans="1:7" x14ac:dyDescent="0.3">
      <c r="A10" s="14" t="s">
        <v>50</v>
      </c>
      <c r="B10" s="15">
        <f t="shared" ref="B10:G10" si="0">SUM(B6:B9)</f>
        <v>2080</v>
      </c>
      <c r="C10" s="15">
        <f t="shared" si="0"/>
        <v>2265</v>
      </c>
      <c r="D10" s="15">
        <f t="shared" si="0"/>
        <v>2460</v>
      </c>
      <c r="E10" s="15">
        <f t="shared" si="0"/>
        <v>2839.9885787671233</v>
      </c>
      <c r="F10" s="15">
        <f t="shared" si="0"/>
        <v>3311.6209042808223</v>
      </c>
      <c r="G10" s="15">
        <f t="shared" si="0"/>
        <v>3818.1443675804794</v>
      </c>
    </row>
    <row r="11" spans="1:7" x14ac:dyDescent="0.3">
      <c r="A11" s="53"/>
      <c r="B11" s="53"/>
      <c r="C11" s="53"/>
      <c r="D11" s="53"/>
      <c r="E11" s="53"/>
      <c r="F11" s="53"/>
      <c r="G11" s="53"/>
    </row>
    <row r="12" spans="1:7" x14ac:dyDescent="0.3">
      <c r="A12" s="2" t="s">
        <v>51</v>
      </c>
      <c r="B12" s="8">
        <v>1800</v>
      </c>
      <c r="C12" s="8">
        <v>1900</v>
      </c>
      <c r="D12" s="8">
        <v>2000</v>
      </c>
      <c r="E12" s="18">
        <f>D12+'Income Statement'!E5*Assumptions!$B$14</f>
        <v>2302.1</v>
      </c>
      <c r="F12" s="18">
        <f>E12+'Income Statement'!F5*Assumptions!$B$14</f>
        <v>2625.3469999999998</v>
      </c>
      <c r="G12" s="18">
        <f>F12+'Income Statement'!G5*Assumptions!$B$14</f>
        <v>2971.22129</v>
      </c>
    </row>
    <row r="13" spans="1:7" x14ac:dyDescent="0.3">
      <c r="A13" s="2" t="s">
        <v>52</v>
      </c>
      <c r="B13" s="8">
        <v>-600</v>
      </c>
      <c r="C13" s="8">
        <v>-820</v>
      </c>
      <c r="D13" s="8">
        <v>-1050</v>
      </c>
      <c r="E13" s="18">
        <f>D13-'Income Statement'!E14</f>
        <v>-1321.8899999999999</v>
      </c>
      <c r="F13" s="18">
        <f>E13-'Income Statement'!F14</f>
        <v>-1612.8122999999998</v>
      </c>
      <c r="G13" s="18">
        <f>F13-'Income Statement'!G14</f>
        <v>-1924.0991609999999</v>
      </c>
    </row>
    <row r="14" spans="1:7" x14ac:dyDescent="0.3">
      <c r="A14" s="21" t="s">
        <v>53</v>
      </c>
      <c r="B14" s="15">
        <f t="shared" ref="B14:G14" si="1">B12+B13</f>
        <v>1200</v>
      </c>
      <c r="C14" s="15">
        <f t="shared" si="1"/>
        <v>1080</v>
      </c>
      <c r="D14" s="15">
        <f t="shared" si="1"/>
        <v>950</v>
      </c>
      <c r="E14" s="15">
        <f t="shared" si="1"/>
        <v>980.21</v>
      </c>
      <c r="F14" s="15">
        <f t="shared" si="1"/>
        <v>1012.5346999999999</v>
      </c>
      <c r="G14" s="15">
        <f t="shared" si="1"/>
        <v>1047.1221290000001</v>
      </c>
    </row>
    <row r="15" spans="1:7" x14ac:dyDescent="0.3">
      <c r="A15" s="2" t="s">
        <v>54</v>
      </c>
      <c r="B15" s="8">
        <v>200</v>
      </c>
      <c r="C15" s="8">
        <v>210</v>
      </c>
      <c r="D15" s="8">
        <v>220</v>
      </c>
      <c r="E15" s="13">
        <f>D15</f>
        <v>220</v>
      </c>
      <c r="F15" s="13">
        <f>E15</f>
        <v>220</v>
      </c>
      <c r="G15" s="13">
        <f>F15</f>
        <v>220</v>
      </c>
    </row>
    <row r="16" spans="1:7" x14ac:dyDescent="0.3">
      <c r="A16" s="14" t="s">
        <v>55</v>
      </c>
      <c r="B16" s="15">
        <f t="shared" ref="B16:G16" si="2">B14+B15</f>
        <v>1400</v>
      </c>
      <c r="C16" s="15">
        <f t="shared" si="2"/>
        <v>1290</v>
      </c>
      <c r="D16" s="15">
        <f t="shared" si="2"/>
        <v>1170</v>
      </c>
      <c r="E16" s="15">
        <f t="shared" si="2"/>
        <v>1200.21</v>
      </c>
      <c r="F16" s="15">
        <f t="shared" si="2"/>
        <v>1232.5346999999999</v>
      </c>
      <c r="G16" s="15">
        <f t="shared" si="2"/>
        <v>1267.1221290000001</v>
      </c>
    </row>
    <row r="17" spans="1:7" x14ac:dyDescent="0.3">
      <c r="A17" s="53"/>
      <c r="B17" s="53"/>
      <c r="C17" s="53"/>
      <c r="D17" s="53"/>
      <c r="E17" s="53"/>
      <c r="F17" s="53"/>
      <c r="G17" s="53"/>
    </row>
    <row r="18" spans="1:7" x14ac:dyDescent="0.3">
      <c r="A18" s="22" t="s">
        <v>56</v>
      </c>
      <c r="B18" s="23">
        <f t="shared" ref="B18:G18" si="3">B10+B16</f>
        <v>3480</v>
      </c>
      <c r="C18" s="23">
        <f t="shared" si="3"/>
        <v>3555</v>
      </c>
      <c r="D18" s="23">
        <f t="shared" si="3"/>
        <v>3630</v>
      </c>
      <c r="E18" s="23">
        <f t="shared" si="3"/>
        <v>4040.1985787671233</v>
      </c>
      <c r="F18" s="23">
        <f t="shared" si="3"/>
        <v>4544.1556042808224</v>
      </c>
      <c r="G18" s="23">
        <f t="shared" si="3"/>
        <v>5085.2664965804797</v>
      </c>
    </row>
    <row r="19" spans="1:7" x14ac:dyDescent="0.3">
      <c r="A19" s="53"/>
      <c r="B19" s="53"/>
      <c r="C19" s="53"/>
      <c r="D19" s="53"/>
      <c r="E19" s="53"/>
      <c r="F19" s="53"/>
      <c r="G19" s="53"/>
    </row>
    <row r="20" spans="1:7" x14ac:dyDescent="0.3">
      <c r="A20" s="54" t="s">
        <v>57</v>
      </c>
      <c r="B20" s="53"/>
      <c r="C20" s="53"/>
      <c r="D20" s="53"/>
      <c r="E20" s="53"/>
      <c r="F20" s="53"/>
      <c r="G20" s="53"/>
    </row>
    <row r="21" spans="1:7" x14ac:dyDescent="0.3">
      <c r="A21" s="2" t="s">
        <v>58</v>
      </c>
      <c r="B21" s="8">
        <v>450</v>
      </c>
      <c r="C21" s="8">
        <v>480</v>
      </c>
      <c r="D21" s="8">
        <v>510</v>
      </c>
      <c r="E21" s="18">
        <f>'Income Statement'!E6*Assumptions!$B$13/365</f>
        <v>482.53232876712332</v>
      </c>
      <c r="F21" s="18">
        <f>'Income Statement'!F6*Assumptions!$B$13/365</f>
        <v>516.30959178082196</v>
      </c>
      <c r="G21" s="18">
        <f>'Income Statement'!G6*Assumptions!$B$13/365</f>
        <v>552.45126320547956</v>
      </c>
    </row>
    <row r="22" spans="1:7" x14ac:dyDescent="0.3">
      <c r="A22" s="2" t="s">
        <v>59</v>
      </c>
      <c r="B22" s="8">
        <v>300</v>
      </c>
      <c r="C22" s="8">
        <v>320</v>
      </c>
      <c r="D22" s="8">
        <v>340</v>
      </c>
      <c r="E22" s="13">
        <f>D22</f>
        <v>340</v>
      </c>
      <c r="F22" s="13">
        <f>E22</f>
        <v>340</v>
      </c>
      <c r="G22" s="13">
        <f>F22</f>
        <v>340</v>
      </c>
    </row>
    <row r="23" spans="1:7" x14ac:dyDescent="0.3">
      <c r="A23" s="14" t="s">
        <v>60</v>
      </c>
      <c r="B23" s="15">
        <f t="shared" ref="B23:G23" si="4">SUM(B21:B22)</f>
        <v>750</v>
      </c>
      <c r="C23" s="15">
        <f t="shared" si="4"/>
        <v>800</v>
      </c>
      <c r="D23" s="15">
        <f t="shared" si="4"/>
        <v>850</v>
      </c>
      <c r="E23" s="15">
        <f t="shared" si="4"/>
        <v>822.53232876712332</v>
      </c>
      <c r="F23" s="15">
        <f t="shared" si="4"/>
        <v>856.30959178082196</v>
      </c>
      <c r="G23" s="15">
        <f t="shared" si="4"/>
        <v>892.45126320547956</v>
      </c>
    </row>
    <row r="24" spans="1:7" x14ac:dyDescent="0.3">
      <c r="A24" s="53"/>
      <c r="B24" s="53"/>
      <c r="C24" s="53"/>
      <c r="D24" s="53"/>
      <c r="E24" s="53"/>
      <c r="F24" s="53"/>
      <c r="G24" s="53"/>
    </row>
    <row r="25" spans="1:7" x14ac:dyDescent="0.3">
      <c r="A25" s="2" t="s">
        <v>61</v>
      </c>
      <c r="B25" s="8">
        <v>1200</v>
      </c>
      <c r="C25" s="8">
        <v>1150</v>
      </c>
      <c r="D25" s="8">
        <v>1100</v>
      </c>
      <c r="E25" s="13">
        <f t="shared" ref="E25:G26" si="5">D25</f>
        <v>1100</v>
      </c>
      <c r="F25" s="13">
        <f t="shared" si="5"/>
        <v>1100</v>
      </c>
      <c r="G25" s="13">
        <f t="shared" si="5"/>
        <v>1100</v>
      </c>
    </row>
    <row r="26" spans="1:7" x14ac:dyDescent="0.3">
      <c r="A26" s="2" t="s">
        <v>62</v>
      </c>
      <c r="B26" s="8">
        <v>150</v>
      </c>
      <c r="C26" s="8">
        <v>155</v>
      </c>
      <c r="D26" s="8">
        <v>160</v>
      </c>
      <c r="E26" s="13">
        <f t="shared" si="5"/>
        <v>160</v>
      </c>
      <c r="F26" s="13">
        <f t="shared" si="5"/>
        <v>160</v>
      </c>
      <c r="G26" s="13">
        <f t="shared" si="5"/>
        <v>160</v>
      </c>
    </row>
    <row r="27" spans="1:7" x14ac:dyDescent="0.3">
      <c r="A27" s="14" t="s">
        <v>63</v>
      </c>
      <c r="B27" s="15">
        <f t="shared" ref="B27:G27" si="6">SUM(B25:B26)</f>
        <v>1350</v>
      </c>
      <c r="C27" s="15">
        <f t="shared" si="6"/>
        <v>1305</v>
      </c>
      <c r="D27" s="15">
        <f t="shared" si="6"/>
        <v>1260</v>
      </c>
      <c r="E27" s="15">
        <f t="shared" si="6"/>
        <v>1260</v>
      </c>
      <c r="F27" s="15">
        <f t="shared" si="6"/>
        <v>1260</v>
      </c>
      <c r="G27" s="15">
        <f t="shared" si="6"/>
        <v>1260</v>
      </c>
    </row>
    <row r="28" spans="1:7" x14ac:dyDescent="0.3">
      <c r="A28" s="53"/>
      <c r="B28" s="53"/>
      <c r="C28" s="53"/>
      <c r="D28" s="53"/>
      <c r="E28" s="53"/>
      <c r="F28" s="53"/>
      <c r="G28" s="53"/>
    </row>
    <row r="29" spans="1:7" x14ac:dyDescent="0.3">
      <c r="A29" s="22" t="s">
        <v>64</v>
      </c>
      <c r="B29" s="23">
        <f t="shared" ref="B29:G29" si="7">B23+B27</f>
        <v>2100</v>
      </c>
      <c r="C29" s="23">
        <f t="shared" si="7"/>
        <v>2105</v>
      </c>
      <c r="D29" s="23">
        <f t="shared" si="7"/>
        <v>2110</v>
      </c>
      <c r="E29" s="23">
        <f t="shared" si="7"/>
        <v>2082.5323287671235</v>
      </c>
      <c r="F29" s="23">
        <f t="shared" si="7"/>
        <v>2116.3095917808218</v>
      </c>
      <c r="G29" s="23">
        <f t="shared" si="7"/>
        <v>2152.4512632054793</v>
      </c>
    </row>
    <row r="30" spans="1:7" x14ac:dyDescent="0.3">
      <c r="A30" s="53"/>
      <c r="B30" s="53"/>
      <c r="C30" s="53"/>
      <c r="D30" s="53"/>
      <c r="E30" s="53"/>
      <c r="F30" s="53"/>
      <c r="G30" s="53"/>
    </row>
    <row r="31" spans="1:7" x14ac:dyDescent="0.3">
      <c r="A31" s="54" t="s">
        <v>65</v>
      </c>
      <c r="B31" s="53"/>
      <c r="C31" s="53"/>
      <c r="D31" s="53"/>
      <c r="E31" s="53"/>
      <c r="F31" s="53"/>
      <c r="G31" s="53"/>
    </row>
    <row r="32" spans="1:7" x14ac:dyDescent="0.3">
      <c r="A32" s="2" t="s">
        <v>66</v>
      </c>
      <c r="B32" s="8">
        <v>500</v>
      </c>
      <c r="C32" s="8">
        <v>500</v>
      </c>
      <c r="D32" s="8">
        <v>500</v>
      </c>
      <c r="E32" s="13">
        <f>D32</f>
        <v>500</v>
      </c>
      <c r="F32" s="13">
        <f>E32</f>
        <v>500</v>
      </c>
      <c r="G32" s="13">
        <f>F32</f>
        <v>500</v>
      </c>
    </row>
    <row r="33" spans="1:7" x14ac:dyDescent="0.3">
      <c r="A33" s="2" t="s">
        <v>67</v>
      </c>
      <c r="B33" s="8">
        <v>880</v>
      </c>
      <c r="C33" s="8">
        <v>970</v>
      </c>
      <c r="D33" s="8">
        <v>1020</v>
      </c>
      <c r="E33" s="18">
        <f>D33+'Income Statement'!E21-('Income Statement'!E21*Assumptions!$B$21)</f>
        <v>1457.66625</v>
      </c>
      <c r="F33" s="18">
        <f>E33+'Income Statement'!F21-('Income Statement'!F21*Assumptions!$B$21)</f>
        <v>1927.8460125000001</v>
      </c>
      <c r="G33" s="18">
        <f>F33+'Income Statement'!G21-('Income Statement'!G21*Assumptions!$B$21)</f>
        <v>2432.8152333750004</v>
      </c>
    </row>
    <row r="34" spans="1:7" x14ac:dyDescent="0.3">
      <c r="A34" s="14" t="s">
        <v>68</v>
      </c>
      <c r="B34" s="15">
        <f t="shared" ref="B34:G34" si="8">B32+B33</f>
        <v>1380</v>
      </c>
      <c r="C34" s="15">
        <f t="shared" si="8"/>
        <v>1470</v>
      </c>
      <c r="D34" s="15">
        <f t="shared" si="8"/>
        <v>1520</v>
      </c>
      <c r="E34" s="15">
        <f t="shared" si="8"/>
        <v>1957.66625</v>
      </c>
      <c r="F34" s="15">
        <f t="shared" si="8"/>
        <v>2427.8460125000001</v>
      </c>
      <c r="G34" s="15">
        <f t="shared" si="8"/>
        <v>2932.8152333750004</v>
      </c>
    </row>
    <row r="35" spans="1:7" x14ac:dyDescent="0.3">
      <c r="A35" s="53"/>
      <c r="B35" s="53"/>
      <c r="C35" s="53"/>
      <c r="D35" s="53"/>
      <c r="E35" s="53"/>
      <c r="F35" s="53"/>
      <c r="G35" s="53"/>
    </row>
    <row r="36" spans="1:7" x14ac:dyDescent="0.3">
      <c r="A36" s="22" t="s">
        <v>69</v>
      </c>
      <c r="B36" s="23">
        <f t="shared" ref="B36:G36" si="9">B29+B34</f>
        <v>3480</v>
      </c>
      <c r="C36" s="23">
        <f t="shared" si="9"/>
        <v>3575</v>
      </c>
      <c r="D36" s="23">
        <f t="shared" si="9"/>
        <v>3630</v>
      </c>
      <c r="E36" s="23">
        <f t="shared" si="9"/>
        <v>4040.1985787671238</v>
      </c>
      <c r="F36" s="23">
        <f t="shared" si="9"/>
        <v>4544.1556042808224</v>
      </c>
      <c r="G36" s="23">
        <f t="shared" si="9"/>
        <v>5085.2664965804797</v>
      </c>
    </row>
    <row r="37" spans="1:7" x14ac:dyDescent="0.3">
      <c r="A37" s="56" t="s">
        <v>70</v>
      </c>
      <c r="B37" s="24">
        <f t="shared" ref="B37:G37" si="10">B18-B36</f>
        <v>0</v>
      </c>
      <c r="C37" s="24">
        <f t="shared" si="10"/>
        <v>-20</v>
      </c>
      <c r="D37" s="24">
        <f t="shared" si="10"/>
        <v>0</v>
      </c>
      <c r="E37" s="24">
        <f t="shared" si="10"/>
        <v>0</v>
      </c>
      <c r="F37" s="24">
        <f t="shared" si="10"/>
        <v>0</v>
      </c>
      <c r="G37" s="24">
        <f t="shared" si="10"/>
        <v>0</v>
      </c>
    </row>
  </sheetData>
  <mergeCells count="14">
    <mergeCell ref="A37"/>
    <mergeCell ref="A28:G28"/>
    <mergeCell ref="A19:G19"/>
    <mergeCell ref="A11:G11"/>
    <mergeCell ref="A5:G5"/>
    <mergeCell ref="A1:G1"/>
    <mergeCell ref="A17:G17"/>
    <mergeCell ref="A31:G31"/>
    <mergeCell ref="A35:G35"/>
    <mergeCell ref="A4:G4"/>
    <mergeCell ref="A20:G20"/>
    <mergeCell ref="A24:G24"/>
    <mergeCell ref="A2:G2"/>
    <mergeCell ref="A30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04040"/>
  </sheetPr>
  <dimension ref="A1:G25"/>
  <sheetViews>
    <sheetView workbookViewId="0">
      <pane xSplit="1" ySplit="3" topLeftCell="B4" activePane="bottomRight" state="frozen"/>
      <selection pane="topRight"/>
      <selection pane="bottomLeft"/>
      <selection pane="bottomRight" sqref="A1:G1"/>
    </sheetView>
  </sheetViews>
  <sheetFormatPr defaultRowHeight="14.4" x14ac:dyDescent="0.3"/>
  <cols>
    <col min="1" max="1" width="36" customWidth="1"/>
    <col min="2" max="7" width="14" customWidth="1"/>
  </cols>
  <sheetData>
    <row r="1" spans="1:7" ht="25.95" customHeight="1" x14ac:dyDescent="0.3">
      <c r="A1" s="52" t="s">
        <v>71</v>
      </c>
      <c r="B1" s="53"/>
      <c r="C1" s="53"/>
      <c r="D1" s="53"/>
      <c r="E1" s="53"/>
      <c r="F1" s="53"/>
      <c r="G1" s="53"/>
    </row>
    <row r="2" spans="1:7" x14ac:dyDescent="0.3">
      <c r="A2" s="55" t="s">
        <v>72</v>
      </c>
      <c r="B2" s="53"/>
      <c r="C2" s="53"/>
      <c r="D2" s="53"/>
      <c r="E2" s="53"/>
      <c r="F2" s="53"/>
      <c r="G2" s="53"/>
    </row>
    <row r="3" spans="1:7" x14ac:dyDescent="0.3">
      <c r="A3" s="9"/>
      <c r="B3" s="10" t="s">
        <v>22</v>
      </c>
      <c r="C3" s="10" t="s">
        <v>23</v>
      </c>
      <c r="D3" s="10" t="s">
        <v>24</v>
      </c>
      <c r="E3" s="11" t="s">
        <v>25</v>
      </c>
      <c r="F3" s="11" t="s">
        <v>26</v>
      </c>
      <c r="G3" s="11" t="s">
        <v>27</v>
      </c>
    </row>
    <row r="4" spans="1:7" x14ac:dyDescent="0.3">
      <c r="A4" s="54" t="s">
        <v>73</v>
      </c>
      <c r="B4" s="53"/>
      <c r="C4" s="53"/>
      <c r="D4" s="53"/>
      <c r="E4" s="53"/>
      <c r="F4" s="53"/>
      <c r="G4" s="53"/>
    </row>
    <row r="5" spans="1:7" x14ac:dyDescent="0.3">
      <c r="A5" s="2" t="s">
        <v>74</v>
      </c>
      <c r="B5" s="18">
        <f>'Income Statement'!B21</f>
        <v>480</v>
      </c>
      <c r="C5" s="18">
        <f>'Income Statement'!C21</f>
        <v>520</v>
      </c>
      <c r="D5" s="18">
        <f>'Income Statement'!D21</f>
        <v>600</v>
      </c>
      <c r="E5" s="18">
        <f>'Income Statement'!E21</f>
        <v>875.3325000000001</v>
      </c>
      <c r="F5" s="18">
        <f>'Income Statement'!F21</f>
        <v>940.35952500000008</v>
      </c>
      <c r="G5" s="18">
        <f>'Income Statement'!G21</f>
        <v>1009.9384417500003</v>
      </c>
    </row>
    <row r="6" spans="1:7" x14ac:dyDescent="0.3">
      <c r="A6" s="2" t="s">
        <v>75</v>
      </c>
      <c r="B6" s="18">
        <f>'Income Statement'!B14</f>
        <v>220</v>
      </c>
      <c r="C6" s="18">
        <f>'Income Statement'!C14</f>
        <v>240</v>
      </c>
      <c r="D6" s="18">
        <f>'Income Statement'!D14</f>
        <v>260</v>
      </c>
      <c r="E6" s="18">
        <f>'Income Statement'!E14</f>
        <v>271.89</v>
      </c>
      <c r="F6" s="18">
        <f>'Income Statement'!F14</f>
        <v>290.92230000000001</v>
      </c>
      <c r="G6" s="18">
        <f>'Income Statement'!G14</f>
        <v>311.28686100000004</v>
      </c>
    </row>
    <row r="7" spans="1:7" x14ac:dyDescent="0.3">
      <c r="A7" s="2" t="s">
        <v>76</v>
      </c>
      <c r="B7" s="13" t="s">
        <v>77</v>
      </c>
      <c r="C7" s="18">
        <f>-('Balance Sheet'!C7-'Balance Sheet'!B7)</f>
        <v>-100</v>
      </c>
      <c r="D7" s="18">
        <f>-('Balance Sheet'!D7-'Balance Sheet'!C7)</f>
        <v>-100</v>
      </c>
      <c r="E7" s="18">
        <f>-('Balance Sheet'!E7-'Balance Sheet'!D7)</f>
        <v>-73.934246575342513</v>
      </c>
      <c r="F7" s="18">
        <f>-('Balance Sheet'!F7-'Balance Sheet'!E7)</f>
        <v>-96.17539726027394</v>
      </c>
      <c r="G7" s="18">
        <f>-('Balance Sheet'!G7-'Balance Sheet'!F7)</f>
        <v>-102.90767506849352</v>
      </c>
    </row>
    <row r="8" spans="1:7" x14ac:dyDescent="0.3">
      <c r="A8" s="2" t="s">
        <v>78</v>
      </c>
      <c r="B8" s="13" t="s">
        <v>77</v>
      </c>
      <c r="C8" s="18">
        <f>-('Balance Sheet'!C8-'Balance Sheet'!B8)</f>
        <v>-30</v>
      </c>
      <c r="D8" s="18">
        <f>-('Balance Sheet'!D8-'Balance Sheet'!C8)</f>
        <v>-40</v>
      </c>
      <c r="E8" s="18">
        <f>-('Balance Sheet'!E8-'Balance Sheet'!D8)</f>
        <v>37.31945205479451</v>
      </c>
      <c r="F8" s="18">
        <f>-('Balance Sheet'!F8-'Balance Sheet'!E8)</f>
        <v>-40.787638356164507</v>
      </c>
      <c r="G8" s="18">
        <f>-('Balance Sheet'!G8-'Balance Sheet'!F8)</f>
        <v>-43.642773041095893</v>
      </c>
    </row>
    <row r="9" spans="1:7" x14ac:dyDescent="0.3">
      <c r="A9" s="2" t="s">
        <v>79</v>
      </c>
      <c r="B9" s="13" t="s">
        <v>77</v>
      </c>
      <c r="C9" s="18">
        <f>'Balance Sheet'!C21-'Balance Sheet'!B21</f>
        <v>30</v>
      </c>
      <c r="D9" s="18">
        <f>'Balance Sheet'!D21-'Balance Sheet'!C21</f>
        <v>30</v>
      </c>
      <c r="E9" s="18">
        <f>'Balance Sheet'!E21-'Balance Sheet'!D21</f>
        <v>-27.467671232876683</v>
      </c>
      <c r="F9" s="18">
        <f>'Balance Sheet'!F21-'Balance Sheet'!E21</f>
        <v>33.777263013698644</v>
      </c>
      <c r="G9" s="18">
        <f>'Balance Sheet'!G21-'Balance Sheet'!F21</f>
        <v>36.141671424657602</v>
      </c>
    </row>
    <row r="10" spans="1:7" x14ac:dyDescent="0.3">
      <c r="A10" s="2" t="s">
        <v>80</v>
      </c>
      <c r="B10" s="8" t="s">
        <v>77</v>
      </c>
      <c r="C10" s="8" t="s">
        <v>77</v>
      </c>
      <c r="D10" s="8" t="s">
        <v>77</v>
      </c>
      <c r="E10" s="8" t="s">
        <v>77</v>
      </c>
      <c r="F10" s="8" t="s">
        <v>77</v>
      </c>
      <c r="G10" s="8" t="s">
        <v>77</v>
      </c>
    </row>
    <row r="11" spans="1:7" x14ac:dyDescent="0.3">
      <c r="A11" s="14" t="s">
        <v>81</v>
      </c>
      <c r="B11" s="15">
        <f t="shared" ref="B11:G11" si="0">SUM(B5:B10)</f>
        <v>700</v>
      </c>
      <c r="C11" s="15">
        <f t="shared" si="0"/>
        <v>660</v>
      </c>
      <c r="D11" s="15">
        <f t="shared" si="0"/>
        <v>750</v>
      </c>
      <c r="E11" s="15">
        <f t="shared" si="0"/>
        <v>1083.1400342465754</v>
      </c>
      <c r="F11" s="15">
        <f t="shared" si="0"/>
        <v>1128.0960523972603</v>
      </c>
      <c r="G11" s="15">
        <f t="shared" si="0"/>
        <v>1210.8165260650685</v>
      </c>
    </row>
    <row r="12" spans="1:7" x14ac:dyDescent="0.3">
      <c r="A12" s="53"/>
      <c r="B12" s="53"/>
      <c r="C12" s="53"/>
      <c r="D12" s="53"/>
      <c r="E12" s="53"/>
      <c r="F12" s="53"/>
      <c r="G12" s="53"/>
    </row>
    <row r="13" spans="1:7" x14ac:dyDescent="0.3">
      <c r="A13" s="54" t="s">
        <v>82</v>
      </c>
      <c r="B13" s="53"/>
      <c r="C13" s="53"/>
      <c r="D13" s="53"/>
      <c r="E13" s="53"/>
      <c r="F13" s="53"/>
      <c r="G13" s="53"/>
    </row>
    <row r="14" spans="1:7" x14ac:dyDescent="0.3">
      <c r="A14" s="2" t="s">
        <v>83</v>
      </c>
      <c r="B14" s="18">
        <f>-'Income Statement'!B5*Assumptions!$B$14</f>
        <v>-240</v>
      </c>
      <c r="C14" s="18">
        <f>-'Income Statement'!C5*Assumptions!$B$14</f>
        <v>-260</v>
      </c>
      <c r="D14" s="18">
        <f>-'Income Statement'!D5*Assumptions!$B$14</f>
        <v>-285</v>
      </c>
      <c r="E14" s="18">
        <f>-'Income Statement'!E5*Assumptions!$B$14</f>
        <v>-302.10000000000002</v>
      </c>
      <c r="F14" s="18">
        <f>-'Income Statement'!F5*Assumptions!$B$14</f>
        <v>-323.24700000000007</v>
      </c>
      <c r="G14" s="18">
        <f>-'Income Statement'!G5*Assumptions!$B$14</f>
        <v>-345.87429000000009</v>
      </c>
    </row>
    <row r="15" spans="1:7" x14ac:dyDescent="0.3">
      <c r="A15" s="2" t="s">
        <v>84</v>
      </c>
      <c r="B15" s="8" t="s">
        <v>77</v>
      </c>
      <c r="C15" s="8" t="s">
        <v>77</v>
      </c>
      <c r="D15" s="8" t="s">
        <v>77</v>
      </c>
      <c r="E15" s="8" t="s">
        <v>77</v>
      </c>
      <c r="F15" s="8" t="s">
        <v>77</v>
      </c>
      <c r="G15" s="8" t="s">
        <v>77</v>
      </c>
    </row>
    <row r="16" spans="1:7" x14ac:dyDescent="0.3">
      <c r="A16" s="14" t="s">
        <v>85</v>
      </c>
      <c r="B16" s="15">
        <f t="shared" ref="B16:G16" si="1">SUM(B14:B15)</f>
        <v>-240</v>
      </c>
      <c r="C16" s="15">
        <f t="shared" si="1"/>
        <v>-260</v>
      </c>
      <c r="D16" s="15">
        <f t="shared" si="1"/>
        <v>-285</v>
      </c>
      <c r="E16" s="15">
        <f t="shared" si="1"/>
        <v>-302.10000000000002</v>
      </c>
      <c r="F16" s="15">
        <f t="shared" si="1"/>
        <v>-323.24700000000007</v>
      </c>
      <c r="G16" s="15">
        <f t="shared" si="1"/>
        <v>-345.87429000000009</v>
      </c>
    </row>
    <row r="17" spans="1:7" x14ac:dyDescent="0.3">
      <c r="A17" s="53"/>
      <c r="B17" s="53"/>
      <c r="C17" s="53"/>
      <c r="D17" s="53"/>
      <c r="E17" s="53"/>
      <c r="F17" s="53"/>
      <c r="G17" s="53"/>
    </row>
    <row r="18" spans="1:7" x14ac:dyDescent="0.3">
      <c r="A18" s="54" t="s">
        <v>86</v>
      </c>
      <c r="B18" s="53"/>
      <c r="C18" s="53"/>
      <c r="D18" s="53"/>
      <c r="E18" s="53"/>
      <c r="F18" s="53"/>
      <c r="G18" s="53"/>
    </row>
    <row r="19" spans="1:7" x14ac:dyDescent="0.3">
      <c r="A19" s="2" t="s">
        <v>87</v>
      </c>
      <c r="B19" s="13" t="s">
        <v>77</v>
      </c>
      <c r="C19" s="18">
        <f>'Balance Sheet'!C25-'Balance Sheet'!B25</f>
        <v>-50</v>
      </c>
      <c r="D19" s="18">
        <f>'Balance Sheet'!D25-'Balance Sheet'!C25</f>
        <v>-50</v>
      </c>
      <c r="E19" s="18">
        <f>'Balance Sheet'!E25-'Balance Sheet'!D25</f>
        <v>0</v>
      </c>
      <c r="F19" s="18">
        <f>'Balance Sheet'!F25-'Balance Sheet'!E25</f>
        <v>0</v>
      </c>
      <c r="G19" s="18">
        <f>'Balance Sheet'!G25-'Balance Sheet'!F25</f>
        <v>0</v>
      </c>
    </row>
    <row r="20" spans="1:7" x14ac:dyDescent="0.3">
      <c r="A20" s="2" t="s">
        <v>88</v>
      </c>
      <c r="B20" s="18">
        <f>-'Income Statement'!B21*Assumptions!$B$21</f>
        <v>-240</v>
      </c>
      <c r="C20" s="18">
        <f>-'Income Statement'!C21*Assumptions!$B$21</f>
        <v>-260</v>
      </c>
      <c r="D20" s="18">
        <f>-'Income Statement'!D21*Assumptions!$B$21</f>
        <v>-300</v>
      </c>
      <c r="E20" s="18">
        <f>-'Income Statement'!E21*Assumptions!$B$21</f>
        <v>-437.66625000000005</v>
      </c>
      <c r="F20" s="18">
        <f>-'Income Statement'!F21*Assumptions!$B$21</f>
        <v>-470.17976250000004</v>
      </c>
      <c r="G20" s="18">
        <f>-'Income Statement'!G21*Assumptions!$B$21</f>
        <v>-504.96922087500013</v>
      </c>
    </row>
    <row r="21" spans="1:7" x14ac:dyDescent="0.3">
      <c r="A21" s="14" t="s">
        <v>89</v>
      </c>
      <c r="B21" s="15">
        <f t="shared" ref="B21:G21" si="2">SUM(B19:B20)</f>
        <v>-240</v>
      </c>
      <c r="C21" s="15">
        <f t="shared" si="2"/>
        <v>-310</v>
      </c>
      <c r="D21" s="15">
        <f t="shared" si="2"/>
        <v>-350</v>
      </c>
      <c r="E21" s="15">
        <f t="shared" si="2"/>
        <v>-437.66625000000005</v>
      </c>
      <c r="F21" s="15">
        <f t="shared" si="2"/>
        <v>-470.17976250000004</v>
      </c>
      <c r="G21" s="15">
        <f t="shared" si="2"/>
        <v>-504.96922087500013</v>
      </c>
    </row>
    <row r="22" spans="1:7" x14ac:dyDescent="0.3">
      <c r="A22" s="53"/>
      <c r="B22" s="53"/>
      <c r="C22" s="53"/>
      <c r="D22" s="53"/>
      <c r="E22" s="53"/>
      <c r="F22" s="53"/>
      <c r="G22" s="53"/>
    </row>
    <row r="23" spans="1:7" x14ac:dyDescent="0.3">
      <c r="A23" s="22" t="s">
        <v>90</v>
      </c>
      <c r="B23" s="15">
        <f t="shared" ref="B23:G23" si="3">B11+B16+B21</f>
        <v>220</v>
      </c>
      <c r="C23" s="15">
        <f t="shared" si="3"/>
        <v>90</v>
      </c>
      <c r="D23" s="15">
        <f t="shared" si="3"/>
        <v>115</v>
      </c>
      <c r="E23" s="15">
        <f t="shared" si="3"/>
        <v>343.37378424657533</v>
      </c>
      <c r="F23" s="15">
        <f t="shared" si="3"/>
        <v>334.66928989726023</v>
      </c>
      <c r="G23" s="15">
        <f t="shared" si="3"/>
        <v>359.97301519006828</v>
      </c>
    </row>
    <row r="24" spans="1:7" x14ac:dyDescent="0.3">
      <c r="A24" s="2" t="s">
        <v>91</v>
      </c>
      <c r="B24" s="18">
        <f>'Balance Sheet'!B6</f>
        <v>350</v>
      </c>
      <c r="C24" s="18">
        <f>'Balance Sheet'!B6</f>
        <v>350</v>
      </c>
      <c r="D24" s="18">
        <f>'Balance Sheet'!C6</f>
        <v>400</v>
      </c>
      <c r="E24" s="18">
        <f>'Balance Sheet'!D6</f>
        <v>450</v>
      </c>
      <c r="F24" s="18">
        <f>'Balance Sheet'!E6</f>
        <v>793.37378424657527</v>
      </c>
      <c r="G24" s="18">
        <f>'Balance Sheet'!F6</f>
        <v>1128.0430741438354</v>
      </c>
    </row>
    <row r="25" spans="1:7" x14ac:dyDescent="0.3">
      <c r="A25" s="14" t="s">
        <v>92</v>
      </c>
      <c r="B25" s="23">
        <f t="shared" ref="B25:G25" si="4">B24+B23</f>
        <v>570</v>
      </c>
      <c r="C25" s="23">
        <f t="shared" si="4"/>
        <v>440</v>
      </c>
      <c r="D25" s="23">
        <f t="shared" si="4"/>
        <v>515</v>
      </c>
      <c r="E25" s="23">
        <f t="shared" si="4"/>
        <v>793.37378424657527</v>
      </c>
      <c r="F25" s="23">
        <f t="shared" si="4"/>
        <v>1128.0430741438354</v>
      </c>
      <c r="G25" s="23">
        <f t="shared" si="4"/>
        <v>1488.0160893339037</v>
      </c>
    </row>
  </sheetData>
  <mergeCells count="8">
    <mergeCell ref="A13:G13"/>
    <mergeCell ref="A1:G1"/>
    <mergeCell ref="A17:G17"/>
    <mergeCell ref="A18:G18"/>
    <mergeCell ref="A22:G22"/>
    <mergeCell ref="A12:G12"/>
    <mergeCell ref="A4:G4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84C"/>
  </sheetPr>
  <dimension ref="A1:F61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defaultRowHeight="14.4" x14ac:dyDescent="0.3"/>
  <cols>
    <col min="1" max="1" width="38" customWidth="1"/>
    <col min="2" max="4" width="16" customWidth="1"/>
    <col min="5" max="5" width="18" customWidth="1"/>
  </cols>
  <sheetData>
    <row r="1" spans="1:5" ht="25.95" customHeight="1" x14ac:dyDescent="0.3">
      <c r="A1" s="52" t="s">
        <v>93</v>
      </c>
      <c r="B1" s="53"/>
      <c r="C1" s="53"/>
      <c r="D1" s="53"/>
      <c r="E1" s="53"/>
    </row>
    <row r="2" spans="1:5" x14ac:dyDescent="0.3">
      <c r="A2" s="55" t="s">
        <v>94</v>
      </c>
      <c r="B2" s="53"/>
      <c r="C2" s="53"/>
      <c r="D2" s="53"/>
      <c r="E2" s="53"/>
    </row>
    <row r="3" spans="1:5" x14ac:dyDescent="0.3">
      <c r="A3" s="9"/>
      <c r="B3" s="11" t="s">
        <v>25</v>
      </c>
      <c r="C3" s="11" t="s">
        <v>26</v>
      </c>
      <c r="D3" s="11" t="s">
        <v>27</v>
      </c>
      <c r="E3" s="9"/>
    </row>
    <row r="4" spans="1:5" x14ac:dyDescent="0.3">
      <c r="A4" s="57"/>
      <c r="B4" s="53"/>
      <c r="C4" s="53"/>
      <c r="D4" s="53"/>
      <c r="E4" s="53"/>
    </row>
    <row r="5" spans="1:5" x14ac:dyDescent="0.3">
      <c r="A5" s="54" t="s">
        <v>95</v>
      </c>
      <c r="B5" s="53"/>
      <c r="C5" s="53"/>
      <c r="D5" s="53"/>
      <c r="E5" s="53"/>
    </row>
    <row r="6" spans="1:5" x14ac:dyDescent="0.3">
      <c r="A6" s="25" t="s">
        <v>36</v>
      </c>
      <c r="B6" s="26">
        <f>'Income Statement'!E15</f>
        <v>1238.6100000000001</v>
      </c>
      <c r="C6" s="26">
        <f>'Income Statement'!F15</f>
        <v>1325.3127000000002</v>
      </c>
      <c r="D6" s="26">
        <f>'Income Statement'!G15</f>
        <v>1418.0845890000003</v>
      </c>
    </row>
    <row r="7" spans="1:5" x14ac:dyDescent="0.3">
      <c r="A7" s="27" t="s">
        <v>96</v>
      </c>
      <c r="B7" s="28">
        <f>-B6*Assumptions!E8</f>
        <v>-309.65250000000003</v>
      </c>
      <c r="C7" s="28">
        <f>-C6*Assumptions!F8</f>
        <v>-331.32817500000004</v>
      </c>
      <c r="D7" s="28">
        <f>-D6*Assumptions!G8</f>
        <v>-354.52114725000007</v>
      </c>
    </row>
    <row r="8" spans="1:5" x14ac:dyDescent="0.3">
      <c r="A8" s="21" t="s">
        <v>97</v>
      </c>
      <c r="B8" s="29">
        <f>B6+B7</f>
        <v>928.9575000000001</v>
      </c>
      <c r="C8" s="29">
        <f>C6+C7</f>
        <v>993.98452500000008</v>
      </c>
      <c r="D8" s="29">
        <f>D6+D7</f>
        <v>1063.5634417500003</v>
      </c>
    </row>
    <row r="9" spans="1:5" x14ac:dyDescent="0.3">
      <c r="A9" s="25" t="s">
        <v>75</v>
      </c>
      <c r="B9" s="26">
        <f>'Income Statement'!E14</f>
        <v>271.89</v>
      </c>
      <c r="C9" s="26">
        <f>'Income Statement'!F14</f>
        <v>290.92230000000001</v>
      </c>
      <c r="D9" s="26">
        <f>'Income Statement'!G14</f>
        <v>311.28686100000004</v>
      </c>
    </row>
    <row r="10" spans="1:5" x14ac:dyDescent="0.3">
      <c r="A10" s="25" t="s">
        <v>98</v>
      </c>
      <c r="B10" s="26">
        <f>'Cash Flow'!E14</f>
        <v>-302.10000000000002</v>
      </c>
      <c r="C10" s="26">
        <f>'Cash Flow'!F14</f>
        <v>-323.24700000000007</v>
      </c>
      <c r="D10" s="26">
        <f>'Cash Flow'!G14</f>
        <v>-345.87429000000009</v>
      </c>
    </row>
    <row r="11" spans="1:5" x14ac:dyDescent="0.3">
      <c r="A11" s="25" t="s">
        <v>99</v>
      </c>
      <c r="B11" s="26">
        <f>'Cash Flow'!E7+'Cash Flow'!E8+'Cash Flow'!E9</f>
        <v>-64.082465753424685</v>
      </c>
      <c r="C11" s="26">
        <f>'Cash Flow'!F7+'Cash Flow'!F8+'Cash Flow'!F9</f>
        <v>-103.1857726027398</v>
      </c>
      <c r="D11" s="26">
        <f>'Cash Flow'!G7+'Cash Flow'!G8+'Cash Flow'!G9</f>
        <v>-110.40877668493181</v>
      </c>
    </row>
    <row r="12" spans="1:5" x14ac:dyDescent="0.3">
      <c r="A12" s="58" t="s">
        <v>100</v>
      </c>
      <c r="B12" s="30">
        <f>B8+B9+B10+B11</f>
        <v>834.66503424657537</v>
      </c>
      <c r="C12" s="30">
        <f>C8+C9+C10+C11</f>
        <v>858.47405239726015</v>
      </c>
      <c r="D12" s="30">
        <f>D8+D9+D10+D11</f>
        <v>918.56723606506853</v>
      </c>
    </row>
    <row r="13" spans="1:5" x14ac:dyDescent="0.3">
      <c r="A13" s="57"/>
      <c r="B13" s="53"/>
      <c r="C13" s="53"/>
      <c r="D13" s="53"/>
      <c r="E13" s="53"/>
    </row>
    <row r="14" spans="1:5" x14ac:dyDescent="0.3">
      <c r="A14" s="54" t="s">
        <v>101</v>
      </c>
      <c r="B14" s="53"/>
      <c r="C14" s="53"/>
      <c r="D14" s="53"/>
      <c r="E14" s="53"/>
    </row>
    <row r="15" spans="1:5" x14ac:dyDescent="0.3">
      <c r="A15" s="31" t="s">
        <v>102</v>
      </c>
      <c r="B15" s="4">
        <v>4.3999999999999997E-2</v>
      </c>
    </row>
    <row r="16" spans="1:5" x14ac:dyDescent="0.3">
      <c r="A16" s="31" t="s">
        <v>103</v>
      </c>
      <c r="B16" s="4">
        <v>0.05</v>
      </c>
    </row>
    <row r="17" spans="1:5" x14ac:dyDescent="0.3">
      <c r="A17" s="31" t="s">
        <v>104</v>
      </c>
      <c r="B17" s="32">
        <v>0.75</v>
      </c>
    </row>
    <row r="18" spans="1:5" x14ac:dyDescent="0.3">
      <c r="A18" s="33" t="s">
        <v>105</v>
      </c>
      <c r="B18" s="34">
        <f>B15+B17*B16</f>
        <v>8.1500000000000003E-2</v>
      </c>
    </row>
    <row r="20" spans="1:5" x14ac:dyDescent="0.3">
      <c r="A20" s="31" t="s">
        <v>106</v>
      </c>
      <c r="B20" s="4">
        <v>6.5000000000000002E-2</v>
      </c>
    </row>
    <row r="21" spans="1:5" x14ac:dyDescent="0.3">
      <c r="A21" s="33" t="s">
        <v>107</v>
      </c>
      <c r="B21" s="35">
        <f>Assumptions!B8</f>
        <v>0.25</v>
      </c>
    </row>
    <row r="22" spans="1:5" x14ac:dyDescent="0.3">
      <c r="A22" s="33" t="s">
        <v>108</v>
      </c>
      <c r="B22" s="34">
        <f>B20*(1-B21)</f>
        <v>4.8750000000000002E-2</v>
      </c>
    </row>
    <row r="24" spans="1:5" x14ac:dyDescent="0.3">
      <c r="A24" s="31" t="s">
        <v>109</v>
      </c>
      <c r="B24" s="4">
        <v>0.3</v>
      </c>
    </row>
    <row r="25" spans="1:5" x14ac:dyDescent="0.3">
      <c r="A25" s="33" t="s">
        <v>110</v>
      </c>
      <c r="B25" s="36">
        <f>1-B24</f>
        <v>0.7</v>
      </c>
    </row>
    <row r="27" spans="1:5" x14ac:dyDescent="0.3">
      <c r="A27" s="33" t="s">
        <v>111</v>
      </c>
      <c r="B27" s="37">
        <f>B18*B25+B22*B24</f>
        <v>7.1674999999999989E-2</v>
      </c>
    </row>
    <row r="28" spans="1:5" x14ac:dyDescent="0.3">
      <c r="A28" s="57"/>
      <c r="B28" s="53"/>
      <c r="C28" s="53"/>
      <c r="D28" s="53"/>
      <c r="E28" s="53"/>
    </row>
    <row r="29" spans="1:5" x14ac:dyDescent="0.3">
      <c r="A29" s="54" t="s">
        <v>112</v>
      </c>
      <c r="B29" s="53"/>
      <c r="C29" s="53"/>
      <c r="D29" s="53"/>
      <c r="E29" s="53"/>
    </row>
    <row r="30" spans="1:5" x14ac:dyDescent="0.3">
      <c r="A30" s="38" t="s">
        <v>113</v>
      </c>
      <c r="B30" s="39">
        <v>1</v>
      </c>
      <c r="C30" s="39">
        <v>2</v>
      </c>
      <c r="D30" s="39">
        <v>3</v>
      </c>
    </row>
    <row r="31" spans="1:5" x14ac:dyDescent="0.3">
      <c r="A31" s="38" t="s">
        <v>114</v>
      </c>
      <c r="B31" s="40">
        <f>1/(1+$B$27)^B30</f>
        <v>0.93311871602864682</v>
      </c>
      <c r="C31" s="40">
        <f>1/(1+$B$27)^C30</f>
        <v>0.87071053820295041</v>
      </c>
      <c r="D31" s="40">
        <f>1/(1+$B$27)^D30</f>
        <v>0.81247629944054911</v>
      </c>
    </row>
    <row r="32" spans="1:5" x14ac:dyDescent="0.3">
      <c r="A32" s="21" t="s">
        <v>115</v>
      </c>
      <c r="B32" s="29">
        <f>B12*B31</f>
        <v>778.84156507017099</v>
      </c>
      <c r="C32" s="29">
        <f>C12*C31</f>
        <v>747.48240419608624</v>
      </c>
      <c r="D32" s="29">
        <f>D12*D31</f>
        <v>746.31410874548021</v>
      </c>
    </row>
    <row r="33" spans="1:5" x14ac:dyDescent="0.3">
      <c r="A33" s="57"/>
      <c r="B33" s="53"/>
      <c r="C33" s="53"/>
      <c r="D33" s="53"/>
      <c r="E33" s="53"/>
    </row>
    <row r="34" spans="1:5" x14ac:dyDescent="0.3">
      <c r="A34" s="31" t="s">
        <v>116</v>
      </c>
      <c r="B34" s="4">
        <v>2.5000000000000001E-2</v>
      </c>
    </row>
    <row r="35" spans="1:5" x14ac:dyDescent="0.3">
      <c r="A35" s="38" t="s">
        <v>117</v>
      </c>
      <c r="B35" s="28">
        <f>D12</f>
        <v>918.56723606506853</v>
      </c>
    </row>
    <row r="36" spans="1:5" x14ac:dyDescent="0.3">
      <c r="A36" s="38" t="s">
        <v>118</v>
      </c>
      <c r="B36" s="41">
        <f>B35*(1+B34)/(B27-B34)</f>
        <v>20172.071065167551</v>
      </c>
    </row>
    <row r="37" spans="1:5" x14ac:dyDescent="0.3">
      <c r="A37" s="21" t="s">
        <v>119</v>
      </c>
      <c r="B37" s="29">
        <f>B36*(1/(1+B27)^3)</f>
        <v>16389.329651079108</v>
      </c>
    </row>
    <row r="38" spans="1:5" x14ac:dyDescent="0.3">
      <c r="A38" s="57"/>
      <c r="B38" s="53"/>
      <c r="C38" s="53"/>
      <c r="D38" s="53"/>
      <c r="E38" s="53"/>
    </row>
    <row r="39" spans="1:5" x14ac:dyDescent="0.3">
      <c r="A39" s="54" t="s">
        <v>120</v>
      </c>
      <c r="B39" s="53"/>
      <c r="C39" s="53"/>
      <c r="D39" s="53"/>
      <c r="E39" s="53"/>
    </row>
    <row r="40" spans="1:5" x14ac:dyDescent="0.3">
      <c r="A40" s="33" t="s">
        <v>121</v>
      </c>
      <c r="B40" s="42">
        <f>SUM(B32:D32)</f>
        <v>2272.6380780117374</v>
      </c>
    </row>
    <row r="41" spans="1:5" x14ac:dyDescent="0.3">
      <c r="A41" s="33" t="s">
        <v>119</v>
      </c>
      <c r="B41" s="42">
        <f>B37</f>
        <v>16389.329651079108</v>
      </c>
    </row>
    <row r="42" spans="1:5" x14ac:dyDescent="0.3">
      <c r="A42" s="1" t="s">
        <v>122</v>
      </c>
      <c r="B42" s="43">
        <f>B40+B41</f>
        <v>18661.967729090844</v>
      </c>
    </row>
    <row r="43" spans="1:5" x14ac:dyDescent="0.3">
      <c r="A43" s="33" t="s">
        <v>123</v>
      </c>
      <c r="B43" s="42">
        <f>'Balance Sheet'!D25-'Balance Sheet'!D6</f>
        <v>650</v>
      </c>
    </row>
    <row r="44" spans="1:5" x14ac:dyDescent="0.3">
      <c r="A44" s="1" t="s">
        <v>124</v>
      </c>
      <c r="B44" s="43">
        <f>B42-B43</f>
        <v>18011.967729090844</v>
      </c>
    </row>
    <row r="45" spans="1:5" x14ac:dyDescent="0.3">
      <c r="A45" s="31" t="s">
        <v>125</v>
      </c>
      <c r="B45" s="44">
        <v>134</v>
      </c>
    </row>
    <row r="46" spans="1:5" x14ac:dyDescent="0.3">
      <c r="A46" s="1" t="s">
        <v>126</v>
      </c>
      <c r="B46" s="45">
        <f>B44/B45*1000</f>
        <v>134417.66962008091</v>
      </c>
    </row>
    <row r="47" spans="1:5" x14ac:dyDescent="0.3">
      <c r="A47" s="31" t="s">
        <v>127</v>
      </c>
      <c r="B47" s="46">
        <v>137.69999999999999</v>
      </c>
    </row>
    <row r="48" spans="1:5" x14ac:dyDescent="0.3">
      <c r="A48" s="33" t="s">
        <v>128</v>
      </c>
      <c r="B48" s="47">
        <f>IFERROR(B46/B47-1,"-")</f>
        <v>975.16317806885195</v>
      </c>
    </row>
    <row r="50" spans="1:6" x14ac:dyDescent="0.3">
      <c r="A50" s="57"/>
      <c r="B50" s="53"/>
      <c r="C50" s="53"/>
      <c r="D50" s="53"/>
      <c r="E50" s="53"/>
    </row>
    <row r="51" spans="1:6" x14ac:dyDescent="0.3">
      <c r="A51" s="54" t="s">
        <v>129</v>
      </c>
      <c r="B51" s="53"/>
      <c r="C51" s="53"/>
      <c r="D51" s="53"/>
      <c r="E51" s="53"/>
    </row>
    <row r="52" spans="1:6" x14ac:dyDescent="0.3">
      <c r="A52" s="48" t="s">
        <v>130</v>
      </c>
      <c r="B52" s="49">
        <v>1.4999999999999999E-2</v>
      </c>
      <c r="C52" s="49">
        <v>0.02</v>
      </c>
      <c r="D52" s="49">
        <v>2.5000000000000001E-2</v>
      </c>
      <c r="E52" s="49">
        <v>0.03</v>
      </c>
      <c r="F52" s="49">
        <v>3.5000000000000003E-2</v>
      </c>
    </row>
    <row r="53" spans="1:6" x14ac:dyDescent="0.3">
      <c r="A53" s="49">
        <v>7.0000000000000007E-2</v>
      </c>
      <c r="B53" s="50">
        <f>IFERROR((SUM(B32:D32)+D12*(1+0.015)/(0.07-0.015)/(1+0.07)^3-'Balance Sheet'!D25+'Balance Sheet'!D6)/B45*1000,"err")</f>
        <v>115375.43366903394</v>
      </c>
      <c r="C53" s="50">
        <f>IFERROR((SUM(B32:D32)+D12*(1+0.02)/(0.07-0.02)/(1+0.07)^3-'Balance Sheet'!D25+'Balance Sheet'!D6)/B45*1000,"err")</f>
        <v>126261.62360800427</v>
      </c>
      <c r="D53" s="50">
        <f>IFERROR((SUM(B32:D32)+D12*(1+0.025)/(0.07-0.025)/(1+0.07)^3-'Balance Sheet'!D25+'Balance Sheet'!D6)/B45*1000,"err")</f>
        <v>139566.9668667457</v>
      </c>
      <c r="E53" s="50">
        <f>IFERROR((SUM(B32:D32)+D12*(1+0.03)/(0.07-0.03)/(1+0.07)^3-'Balance Sheet'!D25+'Balance Sheet'!D6)/B45*1000,"err")</f>
        <v>156198.6459401726</v>
      </c>
      <c r="F53" s="50">
        <f>IFERROR((SUM(B32:D32)+D12*(1+0.035)/(0.07-0.035)/(1+0.07)^3-'Balance Sheet'!D25+'Balance Sheet'!D6)/B45*1000,"err")</f>
        <v>177582.23332029287</v>
      </c>
    </row>
    <row r="54" spans="1:6" x14ac:dyDescent="0.3">
      <c r="A54" s="49">
        <v>7.4999999999999997E-2</v>
      </c>
      <c r="B54" s="50">
        <f>IFERROR((SUM(B32:D32)+D12*(1+0.015)/(0.075-0.015)/(1+0.075)^3-'Balance Sheet'!D25+'Balance Sheet'!D6)/B45*1000,"err")</f>
        <v>105455.20475604985</v>
      </c>
      <c r="C54" s="50">
        <f>IFERROR((SUM(B32:D32)+D12*(1+0.02)/(0.075-0.02)/(1+0.075)^3-'Balance Sheet'!D25+'Balance Sheet'!D6)/B45*1000,"err")</f>
        <v>114442.83688954698</v>
      </c>
      <c r="D54" s="50">
        <f>IFERROR((SUM(B32:D32)+D12*(1+0.025)/(0.075-0.025)/(1+0.075)^3-'Balance Sheet'!D25+'Balance Sheet'!D6)/B45*1000,"err")</f>
        <v>125227.9954497435</v>
      </c>
      <c r="E54" s="50">
        <f>IFERROR((SUM(B32:D32)+D12*(1+0.03)/(0.075-0.03)/(1+0.075)^3-'Balance Sheet'!D25+'Balance Sheet'!D6)/B45*1000,"err")</f>
        <v>138409.85591220591</v>
      </c>
      <c r="F54" s="50">
        <f>IFERROR((SUM(B32:D32)+D12*(1+0.035)/(0.075-0.035)/(1+0.075)^3-'Balance Sheet'!D25+'Balance Sheet'!D6)/B45*1000,"err")</f>
        <v>154887.18149028398</v>
      </c>
    </row>
    <row r="55" spans="1:6" x14ac:dyDescent="0.3">
      <c r="A55" s="49">
        <v>0.08</v>
      </c>
      <c r="B55" s="50">
        <f>IFERROR((SUM(B32:D32)+D12*(1+0.015)/(0.08-0.015)/(1+0.08)^3-'Balance Sheet'!D25+'Balance Sheet'!D6)/B45*1000,"err")</f>
        <v>97083.534663260391</v>
      </c>
      <c r="C55" s="50">
        <f>IFERROR((SUM(B32:D32)+D12*(1+0.02)/(0.08-0.02)/(1+0.08)^3-'Balance Sheet'!D25+'Balance Sheet'!D6)/B45*1000,"err")</f>
        <v>104618.20123937879</v>
      </c>
      <c r="D55" s="51">
        <f>IFERROR((SUM(B32:D32)+D12*(1+0.025)/(0.08-0.025)/(1+0.08)^3-'Balance Sheet'!D25+'Balance Sheet'!D6)/B45*1000,"err")</f>
        <v>113522.80719297325</v>
      </c>
      <c r="E55" s="50">
        <f>IFERROR((SUM(B32:D32)+D12*(1+0.03)/(0.08-0.03)/(1+0.08)^3-'Balance Sheet'!D25+'Balance Sheet'!D6)/B45*1000,"err")</f>
        <v>124208.33433728662</v>
      </c>
      <c r="F55" s="50">
        <f>IFERROR((SUM(B32:D32)+D12*(1+0.035)/(0.08-0.035)/(1+0.08)^3-'Balance Sheet'!D25+'Balance Sheet'!D6)/B45*1000,"err")</f>
        <v>137268.42306922519</v>
      </c>
    </row>
    <row r="56" spans="1:6" x14ac:dyDescent="0.3">
      <c r="A56" s="49">
        <v>8.5000000000000006E-2</v>
      </c>
      <c r="B56" s="50">
        <f>IFERROR((SUM(B32:D32)+D12*(1+0.015)/(0.085-0.015)/(1+0.085)^3-'Balance Sheet'!D25+'Balance Sheet'!D6)/B45*1000,"err")</f>
        <v>89928.11294779554</v>
      </c>
      <c r="C56" s="50">
        <f>IFERROR((SUM(B32:D32)+D12*(1+0.02)/(0.085-0.02)/(1+0.085)^3-'Balance Sheet'!D25+'Balance Sheet'!D6)/B45*1000,"err")</f>
        <v>96327.01236516716</v>
      </c>
      <c r="D56" s="50">
        <f>IFERROR((SUM(B32:D32)+D12*(1+0.025)/(0.085-0.025)/(1+0.085)^3-'Balance Sheet'!D25+'Balance Sheet'!D6)/B45*1000,"err")</f>
        <v>103792.39501876735</v>
      </c>
      <c r="E56" s="50">
        <f>IFERROR((SUM(B32:D32)+D12*(1+0.03)/(0.085-0.03)/(1+0.085)^3-'Balance Sheet'!D25+'Balance Sheet'!D6)/B45*1000,"err")</f>
        <v>112615.11997302214</v>
      </c>
      <c r="F56" s="50">
        <f>IFERROR((SUM(B32:D32)+D12*(1+0.035)/(0.085-0.035)/(1+0.085)^3-'Balance Sheet'!D25+'Balance Sheet'!D6)/B45*1000,"err")</f>
        <v>123202.38991812788</v>
      </c>
    </row>
    <row r="57" spans="1:6" x14ac:dyDescent="0.3">
      <c r="A57" s="49">
        <v>0.09</v>
      </c>
      <c r="B57" s="50">
        <f>IFERROR((SUM(B32:D32)+D12*(1+0.015)/(0.09-0.015)/(1+0.09)^3-'Balance Sheet'!D25+'Balance Sheet'!D6)/B45*1000,"err")</f>
        <v>83745.257466756215</v>
      </c>
      <c r="C57" s="50">
        <f>IFERROR((SUM(B32:D32)+D12*(1+0.02)/(0.09-0.02)/(1+0.09)^3-'Balance Sheet'!D25+'Balance Sheet'!D6)/B45*1000,"err")</f>
        <v>89240.208888690337</v>
      </c>
      <c r="D57" s="50">
        <f>IFERROR((SUM(B32:D32)+D12*(1+0.025)/(0.09-0.025)/(1+0.09)^3-'Balance Sheet'!D25+'Balance Sheet'!D6)/B45*1000,"err")</f>
        <v>95580.537452460441</v>
      </c>
      <c r="E57" s="50">
        <f>IFERROR((SUM(B32:D32)+D12*(1+0.03)/(0.09-0.03)/(1+0.09)^3-'Balance Sheet'!D25+'Balance Sheet'!D6)/B45*1000,"err")</f>
        <v>102977.58744352561</v>
      </c>
      <c r="F57" s="50">
        <f>IFERROR((SUM(B32:D32)+D12*(1+0.035)/(0.09-0.035)/(1+0.09)^3-'Balance Sheet'!D25+'Balance Sheet'!D6)/B45*1000,"err")</f>
        <v>111719.55561478442</v>
      </c>
    </row>
    <row r="58" spans="1:6" x14ac:dyDescent="0.3">
      <c r="A58" s="49">
        <v>9.5000000000000001E-2</v>
      </c>
      <c r="B58" s="50">
        <f>IFERROR((SUM(B32:D32)+D12*(1+0.015)/(0.095-0.015)/(1+0.095)^3-'Balance Sheet'!D25+'Balance Sheet'!D6)/B45*1000,"err")</f>
        <v>78352.21767010387</v>
      </c>
      <c r="C58" s="50">
        <f>IFERROR((SUM(B32:D32)+D12*(1+0.02)/(0.095-0.02)/(1+0.095)^3-'Balance Sheet'!D25+'Balance Sheet'!D6)/B45*1000,"err")</f>
        <v>83116.490984963821</v>
      </c>
      <c r="D58" s="50">
        <f>IFERROR((SUM(B32:D32)+D12*(1+0.025)/(0.095-0.025)/(1+0.095)^3-'Balance Sheet'!D25+'Balance Sheet'!D6)/B45*1000,"err")</f>
        <v>88561.374773375152</v>
      </c>
      <c r="E58" s="50">
        <f>IFERROR((SUM(B32:D32)+D12*(1+0.03)/(0.095-0.03)/(1+0.095)^3-'Balance Sheet'!D25+'Balance Sheet'!D6)/B45*1000,"err")</f>
        <v>94843.932990772853</v>
      </c>
      <c r="F58" s="50">
        <f>IFERROR((SUM(B32:D32)+D12*(1+0.035)/(0.095-0.035)/(1+0.095)^3-'Balance Sheet'!D25+'Balance Sheet'!D6)/B45*1000,"err")</f>
        <v>102173.58424440352</v>
      </c>
    </row>
    <row r="59" spans="1:6" x14ac:dyDescent="0.3">
      <c r="A59" s="49">
        <v>0.1</v>
      </c>
      <c r="B59" s="50">
        <f>IFERROR((SUM(B32:D32)+D12*(1+0.015)/(0.1-0.015)/(1+0.1)^3-'Balance Sheet'!D25+'Balance Sheet'!D6)/B45*1000,"err")</f>
        <v>73609.253214321434</v>
      </c>
      <c r="C59" s="50">
        <f>IFERROR((SUM(B32:D32)+D12*(1+0.02)/(0.1-0.02)/(1+0.1)^3-'Balance Sheet'!D25+'Balance Sheet'!D6)/B45*1000,"err")</f>
        <v>77774.894544912051</v>
      </c>
      <c r="D59" s="50">
        <f>IFERROR((SUM(B32:D32)+D12*(1+0.025)/(0.1-0.025)/(1+0.1)^3-'Balance Sheet'!D25+'Balance Sheet'!D6)/B45*1000,"err")</f>
        <v>82495.954719581394</v>
      </c>
      <c r="E59" s="50">
        <f>IFERROR((SUM(B32:D32)+D12*(1+0.03)/(0.1-0.03)/(1+0.1)^3-'Balance Sheet'!D25+'Balance Sheet'!D6)/B45*1000,"err")</f>
        <v>87891.452062060664</v>
      </c>
      <c r="F59" s="50">
        <f>IFERROR((SUM(B32:D32)+D12*(1+0.035)/(0.1-0.035)/(1+0.1)^3-'Balance Sheet'!D25+'Balance Sheet'!D6)/B45*1000,"err")</f>
        <v>94117.025918767526</v>
      </c>
    </row>
    <row r="61" spans="1:6" x14ac:dyDescent="0.3">
      <c r="A61" s="59" t="s">
        <v>131</v>
      </c>
      <c r="B61" s="53"/>
      <c r="C61" s="53"/>
      <c r="D61" s="53"/>
      <c r="E61" s="53"/>
    </row>
  </sheetData>
  <mergeCells count="15">
    <mergeCell ref="A61:E61"/>
    <mergeCell ref="A2:E2"/>
    <mergeCell ref="A28:E28"/>
    <mergeCell ref="A33:E33"/>
    <mergeCell ref="A51:E51"/>
    <mergeCell ref="A1:E1"/>
    <mergeCell ref="A5:E5"/>
    <mergeCell ref="A13:E13"/>
    <mergeCell ref="A14:E14"/>
    <mergeCell ref="A39:E39"/>
    <mergeCell ref="A50:E50"/>
    <mergeCell ref="A4:E4"/>
    <mergeCell ref="A29:E29"/>
    <mergeCell ref="A12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Balance Sheet</vt:lpstr>
      <vt:lpstr>Cash Flow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osam</cp:lastModifiedBy>
  <dcterms:created xsi:type="dcterms:W3CDTF">2026-05-30T20:24:36Z</dcterms:created>
  <dcterms:modified xsi:type="dcterms:W3CDTF">2026-05-31T17:51:06Z</dcterms:modified>
</cp:coreProperties>
</file>